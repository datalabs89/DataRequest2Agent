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_HASIL" sheetId="1" state="visible" r:id="rId1"/>
    <sheet xmlns:r="http://schemas.openxmlformats.org/officeDocument/2006/relationships" name="AUDIT_PROVENANCE" sheetId="2" state="visible" r:id="rId2"/>
    <sheet xmlns:r="http://schemas.openxmlformats.org/officeDocument/2006/relationships" name="KAMUS_DATA" sheetId="3" state="visible" r:id="rId3"/>
    <sheet xmlns:r="http://schemas.openxmlformats.org/officeDocument/2006/relationships" name="PROFILING_KUALITAS_DATA" sheetId="4" state="visible" r:id="rId4"/>
  </sheets>
  <definedNames>
    <definedName name="_xlnm._FilterDatabase" localSheetId="0" hidden="1">'DATA_HASIL'!$A$1:$K$36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Rp #,##0"/>
    <numFmt numFmtId="165" formatCode="#,##0 &quot;transaksi&quot;"/>
    <numFmt numFmtId="166" formatCode="0.0%"/>
    <numFmt numFmtId="167" formatCode="#,##0 &quot;Kolom&quot;"/>
    <numFmt numFmtId="168" formatCode="#,##0 &quot;Atribut&quot;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E3A8A"/>
      <sz val="10"/>
    </font>
    <font>
      <name val="Calibri"/>
      <b val="1"/>
      <color rgb="001E3A8A"/>
      <sz val="14"/>
    </font>
    <font>
      <name val="Calibri"/>
      <b val="1"/>
      <sz val="10"/>
    </font>
    <font>
      <name val="Calibri"/>
      <b val="1"/>
      <color rgb="001E3A8A"/>
      <sz val="11"/>
    </font>
    <font>
      <name val="Consolas"/>
      <sz val="9"/>
    </font>
    <font>
      <b val="1"/>
    </font>
    <font>
      <name val="Calibri"/>
      <b val="1"/>
      <color rgb="001E3A8A"/>
      <sz val="13"/>
    </font>
    <font>
      <name val="Calibri"/>
      <i val="1"/>
      <color rgb="00475569"/>
      <sz val="10"/>
    </font>
    <font>
      <name val="Calibri"/>
      <b val="1"/>
      <color rgb="00065F46"/>
      <sz val="9"/>
    </font>
    <font>
      <name val="Calibri"/>
      <b val="1"/>
      <color rgb="00065F46"/>
      <sz val="12"/>
    </font>
    <font>
      <name val="Calibri"/>
      <b val="1"/>
      <color rgb="001E40AF"/>
      <sz val="9"/>
    </font>
    <font>
      <name val="Calibri"/>
      <b val="1"/>
      <color rgb="001E40AF"/>
      <sz val="12"/>
    </font>
    <font>
      <name val="Calibri"/>
      <b val="1"/>
      <color rgb="0092400E"/>
      <sz val="9"/>
    </font>
    <font>
      <name val="Calibri"/>
      <b val="1"/>
      <color rgb="0092400E"/>
      <sz val="12"/>
    </font>
    <font>
      <name val="Calibri"/>
      <b val="1"/>
      <color rgb="00334155"/>
      <sz val="9"/>
    </font>
    <font>
      <name val="Calibri"/>
      <b val="1"/>
      <color rgb="00334155"/>
      <sz val="12"/>
    </font>
    <font>
      <name val="Calibri"/>
      <sz val="9"/>
    </font>
    <font>
      <name val="Calibri"/>
      <b val="1"/>
      <color rgb="0015803D"/>
      <sz val="9"/>
    </font>
    <font>
      <name val="Calibri"/>
      <color rgb="00334155"/>
      <sz val="8.5"/>
    </font>
    <font>
      <name val="Calibri"/>
      <b val="1"/>
      <color rgb="00DC2626"/>
      <sz val="9"/>
    </font>
    <font>
      <name val="Calibri"/>
      <b val="1"/>
      <color rgb="002563EB"/>
      <sz val="9"/>
    </font>
  </fonts>
  <fills count="9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1"/>
      </left>
      <right style="thin">
        <color rgb="00CBD5E1"/>
      </right>
      <top style="thin">
        <color rgb="001E3A8A"/>
      </top>
      <bottom style="double">
        <color rgb="001E3A8A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right"/>
    </xf>
    <xf numFmtId="0" fontId="3" fillId="3" borderId="2" applyAlignment="1" pivotButton="0" quotePrefix="0" xfId="0">
      <alignment horizontal="center" vertical="center"/>
    </xf>
    <xf numFmtId="165" fontId="3" fillId="3" borderId="2" applyAlignment="1" pivotButton="0" quotePrefix="0" xfId="0">
      <alignment horizontal="center"/>
    </xf>
    <xf numFmtId="164" fontId="3" fillId="3" borderId="2" applyAlignment="1" pivotButton="0" quotePrefix="0" xfId="0">
      <alignment horizontal="right"/>
    </xf>
    <xf numFmtId="0" fontId="3" fillId="3" borderId="2" pivotButton="0" quotePrefix="0" xfId="0"/>
    <xf numFmtId="0" fontId="4" fillId="0" borderId="0" pivotButton="0" quotePrefix="0" xfId="0"/>
    <xf numFmtId="0" fontId="5" fillId="4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5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5" fillId="6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166" fontId="12" fillId="5" borderId="0" applyAlignment="1" pivotButton="0" quotePrefix="0" xfId="0">
      <alignment horizontal="center" vertical="center"/>
    </xf>
    <xf numFmtId="167" fontId="14" fillId="3" borderId="0" applyAlignment="1" pivotButton="0" quotePrefix="0" xfId="0">
      <alignment horizontal="center" vertical="center"/>
    </xf>
    <xf numFmtId="168" fontId="16" fillId="6" borderId="0" applyAlignment="1" pivotButton="0" quotePrefix="0" xfId="0">
      <alignment horizontal="center" vertical="center"/>
    </xf>
    <xf numFmtId="49" fontId="18" fillId="4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/>
    </xf>
    <xf numFmtId="0" fontId="19" fillId="7" borderId="1" pivotButton="0" quotePrefix="0" xfId="0"/>
    <xf numFmtId="3" fontId="19" fillId="7" borderId="1" applyAlignment="1" pivotButton="0" quotePrefix="0" xfId="0">
      <alignment horizontal="center"/>
    </xf>
    <xf numFmtId="166" fontId="20" fillId="7" borderId="1" applyAlignment="1" pivotButton="0" quotePrefix="0" xfId="0">
      <alignment horizontal="center"/>
    </xf>
    <xf numFmtId="0" fontId="21" fillId="7" borderId="1" applyAlignment="1" pivotButton="0" quotePrefix="0" xfId="0">
      <alignment horizontal="left"/>
    </xf>
    <xf numFmtId="0" fontId="19" fillId="8" borderId="1" applyAlignment="1" pivotButton="0" quotePrefix="0" xfId="0">
      <alignment horizontal="center"/>
    </xf>
    <xf numFmtId="0" fontId="19" fillId="8" borderId="1" pivotButton="0" quotePrefix="0" xfId="0"/>
    <xf numFmtId="3" fontId="19" fillId="8" borderId="1" applyAlignment="1" pivotButton="0" quotePrefix="0" xfId="0">
      <alignment horizontal="center"/>
    </xf>
    <xf numFmtId="166" fontId="20" fillId="8" borderId="1" applyAlignment="1" pivotButton="0" quotePrefix="0" xfId="0">
      <alignment horizontal="center"/>
    </xf>
    <xf numFmtId="0" fontId="21" fillId="8" borderId="1" applyAlignment="1" pivotButton="0" quotePrefix="0" xfId="0">
      <alignment horizontal="left"/>
    </xf>
    <xf numFmtId="0" fontId="22" fillId="8" borderId="1" applyAlignment="1" pivotButton="0" quotePrefix="0" xfId="0">
      <alignment horizontal="center"/>
    </xf>
    <xf numFmtId="0" fontId="23" fillId="7" borderId="1" applyAlignment="1" pivotButton="0" quotePrefix="0" xfId="0">
      <alignment horizontal="center"/>
    </xf>
    <xf numFmtId="0" fontId="23" fillId="8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26" customWidth="1" min="3" max="3"/>
    <col width="18" customWidth="1" min="4" max="4"/>
    <col width="14" customWidth="1" min="5" max="5"/>
    <col width="26" customWidth="1" min="6" max="6"/>
    <col width="24" customWidth="1" min="7" max="7"/>
    <col width="20" customWidth="1" min="8" max="8"/>
    <col width="16" customWidth="1" min="9" max="9"/>
    <col width="20" customWidth="1" min="10" max="10"/>
    <col width="19" customWidth="1" min="11" max="11"/>
  </cols>
  <sheetData>
    <row r="1">
      <c r="A1" s="1" t="inlineStr">
        <is>
          <t>transaction_id</t>
        </is>
      </c>
      <c r="B1" s="1" t="inlineStr">
        <is>
          <t>transaction_date</t>
        </is>
      </c>
      <c r="C1" s="1" t="inlineStr">
        <is>
          <t>total_amount</t>
        </is>
      </c>
      <c r="D1" s="1" t="inlineStr">
        <is>
          <t>payment_method</t>
        </is>
      </c>
      <c r="E1" s="1" t="inlineStr">
        <is>
          <t>status</t>
        </is>
      </c>
      <c r="F1" s="1" t="inlineStr">
        <is>
          <t>customer_id</t>
        </is>
      </c>
      <c r="G1" s="1" t="inlineStr">
        <is>
          <t>customer_name_masked</t>
        </is>
      </c>
      <c r="H1" s="1" t="inlineStr">
        <is>
          <t>nik_masked</t>
        </is>
      </c>
      <c r="I1" s="1" t="inlineStr">
        <is>
          <t>phone_masked</t>
        </is>
      </c>
      <c r="J1" s="1" t="inlineStr">
        <is>
          <t>customer_segment</t>
        </is>
      </c>
      <c r="K1" s="1" t="inlineStr">
        <is>
          <t>city</t>
        </is>
      </c>
    </row>
    <row r="2">
      <c r="A2" s="2" t="inlineStr">
        <is>
          <t>TRX-20260927-10004</t>
        </is>
      </c>
      <c r="B2" s="3" t="inlineStr">
        <is>
          <t>2026-09-27 08:20:31</t>
        </is>
      </c>
      <c r="C2" s="4" t="n">
        <v>15000000</v>
      </c>
      <c r="D2" s="2" t="inlineStr">
        <is>
          <t>Bank Transfer</t>
        </is>
      </c>
      <c r="E2" s="2" t="inlineStr">
        <is>
          <t>SUCCESS</t>
        </is>
      </c>
      <c r="F2" s="2" t="inlineStr">
        <is>
          <t>CUST-1096</t>
        </is>
      </c>
      <c r="G2" s="2" t="inlineStr">
        <is>
          <t>Hen*** aya</t>
        </is>
      </c>
      <c r="H2" s="2" t="inlineStr">
        <is>
          <t>317522******6379</t>
        </is>
      </c>
      <c r="I2" s="2" t="inlineStr">
        <is>
          <t>0812****423</t>
        </is>
      </c>
      <c r="J2" s="2" t="inlineStr">
        <is>
          <t>PRIORITAS</t>
        </is>
      </c>
      <c r="K2" s="2" t="inlineStr">
        <is>
          <t>Jakarta Selatan</t>
        </is>
      </c>
    </row>
    <row r="3">
      <c r="A3" s="2" t="inlineStr">
        <is>
          <t>TRX-20260926-10006</t>
        </is>
      </c>
      <c r="B3" s="3" t="inlineStr">
        <is>
          <t>2026-09-26 16:45:06</t>
        </is>
      </c>
      <c r="C3" s="4" t="n">
        <v>15000000</v>
      </c>
      <c r="D3" s="2" t="inlineStr">
        <is>
          <t>Credit Card</t>
        </is>
      </c>
      <c r="E3" s="2" t="inlineStr">
        <is>
          <t>SUCCESS</t>
        </is>
      </c>
      <c r="F3" s="2" t="inlineStr">
        <is>
          <t>CUST-1088</t>
        </is>
      </c>
      <c r="G3" s="2" t="inlineStr">
        <is>
          <t>Dew*** ari</t>
        </is>
      </c>
      <c r="H3" s="2" t="inlineStr">
        <is>
          <t>317127******7497</t>
        </is>
      </c>
      <c r="I3" s="2" t="inlineStr">
        <is>
          <t>0812****962</t>
        </is>
      </c>
      <c r="J3" s="2" t="inlineStr">
        <is>
          <t>PRIORITAS</t>
        </is>
      </c>
      <c r="K3" s="2" t="inlineStr">
        <is>
          <t>Denpasar</t>
        </is>
      </c>
    </row>
    <row r="4">
      <c r="A4" s="2" t="inlineStr">
        <is>
          <t>TRX-20260923-10007</t>
        </is>
      </c>
      <c r="B4" s="3" t="inlineStr">
        <is>
          <t>2026-09-23 21:14:45</t>
        </is>
      </c>
      <c r="C4" s="4" t="n">
        <v>65000000</v>
      </c>
      <c r="D4" s="2" t="inlineStr">
        <is>
          <t>QRIS</t>
        </is>
      </c>
      <c r="E4" s="2" t="inlineStr">
        <is>
          <t>SUCCESS</t>
        </is>
      </c>
      <c r="F4" s="2" t="inlineStr">
        <is>
          <t>CUST-1012</t>
        </is>
      </c>
      <c r="G4" s="2" t="inlineStr">
        <is>
          <t>Hen*** aya</t>
        </is>
      </c>
      <c r="H4" s="2" t="inlineStr">
        <is>
          <t>317108******7017</t>
        </is>
      </c>
      <c r="I4" s="2" t="inlineStr">
        <is>
          <t>0812****544</t>
        </is>
      </c>
      <c r="J4" s="2" t="inlineStr">
        <is>
          <t>PRIORITAS</t>
        </is>
      </c>
      <c r="K4" s="2" t="inlineStr">
        <is>
          <t>Surabaya</t>
        </is>
      </c>
    </row>
    <row r="5">
      <c r="A5" s="2" t="inlineStr">
        <is>
          <t>TRX-20260917-10028</t>
        </is>
      </c>
      <c r="B5" s="3" t="inlineStr">
        <is>
          <t>2026-09-17 10:23:32</t>
        </is>
      </c>
      <c r="C5" s="4" t="n">
        <v>27500000</v>
      </c>
      <c r="D5" s="2" t="inlineStr">
        <is>
          <t>Credit Card</t>
        </is>
      </c>
      <c r="E5" s="2" t="inlineStr">
        <is>
          <t>SUCCESS</t>
        </is>
      </c>
      <c r="F5" s="2" t="inlineStr">
        <is>
          <t>CUST-1002</t>
        </is>
      </c>
      <c r="G5" s="2" t="inlineStr">
        <is>
          <t>Sit*** ati</t>
        </is>
      </c>
      <c r="H5" s="2" t="inlineStr">
        <is>
          <t>317426******9418</t>
        </is>
      </c>
      <c r="I5" s="2" t="inlineStr">
        <is>
          <t>0812****983</t>
        </is>
      </c>
      <c r="J5" s="2" t="inlineStr">
        <is>
          <t>PRIORITAS</t>
        </is>
      </c>
      <c r="K5" s="2" t="inlineStr">
        <is>
          <t>Medan</t>
        </is>
      </c>
    </row>
    <row r="6">
      <c r="A6" s="2" t="inlineStr">
        <is>
          <t>TRX-20260915-10020</t>
        </is>
      </c>
      <c r="B6" s="3" t="inlineStr">
        <is>
          <t>2026-09-15 19:49:15</t>
        </is>
      </c>
      <c r="C6" s="4" t="n">
        <v>27500000</v>
      </c>
      <c r="D6" s="2" t="inlineStr">
        <is>
          <t>Bank Transfer</t>
        </is>
      </c>
      <c r="E6" s="2" t="inlineStr">
        <is>
          <t>SUCCESS</t>
        </is>
      </c>
      <c r="F6" s="2" t="inlineStr">
        <is>
          <t>CUST-1095</t>
        </is>
      </c>
      <c r="G6" s="2" t="inlineStr">
        <is>
          <t>Bam*** nto</t>
        </is>
      </c>
      <c r="H6" s="2" t="inlineStr">
        <is>
          <t>317436******7970</t>
        </is>
      </c>
      <c r="I6" s="2" t="inlineStr">
        <is>
          <t>0812****223</t>
        </is>
      </c>
      <c r="J6" s="2" t="inlineStr">
        <is>
          <t>PRIORITAS</t>
        </is>
      </c>
      <c r="K6" s="2" t="inlineStr">
        <is>
          <t>Bandung</t>
        </is>
      </c>
    </row>
    <row r="7">
      <c r="A7" s="2" t="inlineStr">
        <is>
          <t>TRX-20260915-10024</t>
        </is>
      </c>
      <c r="B7" s="3" t="inlineStr">
        <is>
          <t>2026-09-15 15:59:43</t>
        </is>
      </c>
      <c r="C7" s="4" t="n">
        <v>42000000</v>
      </c>
      <c r="D7" s="2" t="inlineStr">
        <is>
          <t>QRIS</t>
        </is>
      </c>
      <c r="E7" s="2" t="inlineStr">
        <is>
          <t>SUCCESS</t>
        </is>
      </c>
      <c r="F7" s="2" t="inlineStr">
        <is>
          <t>CUST-1006</t>
        </is>
      </c>
      <c r="G7" s="2" t="inlineStr">
        <is>
          <t>Agu*** wan</t>
        </is>
      </c>
      <c r="H7" s="2" t="inlineStr">
        <is>
          <t>317758******3381</t>
        </is>
      </c>
      <c r="I7" s="2" t="inlineStr">
        <is>
          <t>0812****799</t>
        </is>
      </c>
      <c r="J7" s="2" t="inlineStr">
        <is>
          <t>PRIORITAS</t>
        </is>
      </c>
      <c r="K7" s="2" t="inlineStr">
        <is>
          <t>Denpasar</t>
        </is>
      </c>
    </row>
    <row r="8">
      <c r="A8" s="2" t="inlineStr">
        <is>
          <t>TRX-20260911-10033</t>
        </is>
      </c>
      <c r="B8" s="3" t="inlineStr">
        <is>
          <t>2026-09-11 20:18:16</t>
        </is>
      </c>
      <c r="C8" s="4" t="n">
        <v>8900000</v>
      </c>
      <c r="D8" s="2" t="inlineStr">
        <is>
          <t>Credit Card</t>
        </is>
      </c>
      <c r="E8" s="2" t="inlineStr">
        <is>
          <t>SUCCESS</t>
        </is>
      </c>
      <c r="F8" s="2" t="inlineStr">
        <is>
          <t>CUST-1005</t>
        </is>
      </c>
      <c r="G8" s="2" t="inlineStr">
        <is>
          <t>Bam*** nto</t>
        </is>
      </c>
      <c r="H8" s="2" t="inlineStr">
        <is>
          <t>317644******4928</t>
        </is>
      </c>
      <c r="I8" s="2" t="inlineStr">
        <is>
          <t>0812****353</t>
        </is>
      </c>
      <c r="J8" s="2" t="inlineStr">
        <is>
          <t>PRIORITAS</t>
        </is>
      </c>
      <c r="K8" s="2" t="inlineStr">
        <is>
          <t>Tangerang</t>
        </is>
      </c>
    </row>
    <row r="9">
      <c r="A9" s="2" t="inlineStr">
        <is>
          <t>TRX-20260909-10003</t>
        </is>
      </c>
      <c r="B9" s="3" t="inlineStr">
        <is>
          <t>2026-09-09 19:38:39</t>
        </is>
      </c>
      <c r="C9" s="4" t="n">
        <v>65000000</v>
      </c>
      <c r="D9" s="2" t="inlineStr">
        <is>
          <t>QRIS</t>
        </is>
      </c>
      <c r="E9" s="2" t="inlineStr">
        <is>
          <t>SUCCESS</t>
        </is>
      </c>
      <c r="F9" s="2" t="inlineStr">
        <is>
          <t>CUST-1072</t>
        </is>
      </c>
      <c r="G9" s="2" t="inlineStr">
        <is>
          <t>Ind*** ata</t>
        </is>
      </c>
      <c r="H9" s="2" t="inlineStr">
        <is>
          <t>317977******2340</t>
        </is>
      </c>
      <c r="I9" s="2" t="inlineStr">
        <is>
          <t>0812****197</t>
        </is>
      </c>
      <c r="J9" s="2" t="inlineStr">
        <is>
          <t>PRIORITAS</t>
        </is>
      </c>
      <c r="K9" s="2" t="inlineStr">
        <is>
          <t>Jakarta Selatan</t>
        </is>
      </c>
    </row>
    <row r="10">
      <c r="A10" s="2" t="inlineStr">
        <is>
          <t>TRX-20260904-10013</t>
        </is>
      </c>
      <c r="B10" s="3" t="inlineStr">
        <is>
          <t>2026-09-04 16:04:36</t>
        </is>
      </c>
      <c r="C10" s="4" t="n">
        <v>65000000</v>
      </c>
      <c r="D10" s="2" t="inlineStr">
        <is>
          <t>Bank Transfer</t>
        </is>
      </c>
      <c r="E10" s="2" t="inlineStr">
        <is>
          <t>SUCCESS</t>
        </is>
      </c>
      <c r="F10" s="2" t="inlineStr">
        <is>
          <t>CUST-1004</t>
        </is>
      </c>
      <c r="G10" s="2" t="inlineStr">
        <is>
          <t>Ind*** ata</t>
        </is>
      </c>
      <c r="H10" s="2" t="inlineStr">
        <is>
          <t>317587******6408</t>
        </is>
      </c>
      <c r="I10" s="2" t="inlineStr">
        <is>
          <t>0812****255</t>
        </is>
      </c>
      <c r="J10" s="2" t="inlineStr">
        <is>
          <t>PRIORITAS</t>
        </is>
      </c>
      <c r="K10" s="2" t="inlineStr">
        <is>
          <t>Semarang</t>
        </is>
      </c>
    </row>
    <row r="11">
      <c r="A11" s="2" t="inlineStr">
        <is>
          <t>TRX-20260904-10012</t>
        </is>
      </c>
      <c r="B11" s="3" t="inlineStr">
        <is>
          <t>2026-09-04 08:32:41</t>
        </is>
      </c>
      <c r="C11" s="4" t="n">
        <v>2500000</v>
      </c>
      <c r="D11" s="2" t="inlineStr">
        <is>
          <t>Bank Transfer</t>
        </is>
      </c>
      <c r="E11" s="2" t="inlineStr">
        <is>
          <t>SUCCESS</t>
        </is>
      </c>
      <c r="F11" s="2" t="inlineStr">
        <is>
          <t>CUST-1093</t>
        </is>
      </c>
      <c r="G11" s="2" t="inlineStr">
        <is>
          <t>Bam*** nto</t>
        </is>
      </c>
      <c r="H11" s="2" t="inlineStr">
        <is>
          <t>317239******4492</t>
        </is>
      </c>
      <c r="I11" s="2" t="inlineStr">
        <is>
          <t>0812****363</t>
        </is>
      </c>
      <c r="J11" s="2" t="inlineStr">
        <is>
          <t>PRIORITAS</t>
        </is>
      </c>
      <c r="K11" s="2" t="inlineStr">
        <is>
          <t>Jakarta Selatan</t>
        </is>
      </c>
    </row>
    <row r="12">
      <c r="A12" s="2" t="inlineStr">
        <is>
          <t>TRX-20260902-10025</t>
        </is>
      </c>
      <c r="B12" s="3" t="inlineStr">
        <is>
          <t>2026-09-02 13:10:19</t>
        </is>
      </c>
      <c r="C12" s="4" t="n">
        <v>4750000</v>
      </c>
      <c r="D12" s="2" t="inlineStr">
        <is>
          <t>Credit Card</t>
        </is>
      </c>
      <c r="E12" s="2" t="inlineStr">
        <is>
          <t>SUCCESS</t>
        </is>
      </c>
      <c r="F12" s="2" t="inlineStr">
        <is>
          <t>CUST-1095</t>
        </is>
      </c>
      <c r="G12" s="2" t="inlineStr">
        <is>
          <t>Hen*** aya</t>
        </is>
      </c>
      <c r="H12" s="2" t="inlineStr">
        <is>
          <t>317516******4162</t>
        </is>
      </c>
      <c r="I12" s="2" t="inlineStr">
        <is>
          <t>0812****687</t>
        </is>
      </c>
      <c r="J12" s="2" t="inlineStr">
        <is>
          <t>PRIORITAS</t>
        </is>
      </c>
      <c r="K12" s="2" t="inlineStr">
        <is>
          <t>Jakarta Selatan</t>
        </is>
      </c>
    </row>
    <row r="13">
      <c r="A13" s="2" t="inlineStr">
        <is>
          <t>TRX-20260902-10027</t>
        </is>
      </c>
      <c r="B13" s="3" t="inlineStr">
        <is>
          <t>2026-09-02 08:00:34</t>
        </is>
      </c>
      <c r="C13" s="4" t="n">
        <v>65000000</v>
      </c>
      <c r="D13" s="2" t="inlineStr">
        <is>
          <t>Credit Card</t>
        </is>
      </c>
      <c r="E13" s="2" t="inlineStr">
        <is>
          <t>SUCCESS</t>
        </is>
      </c>
      <c r="F13" s="2" t="inlineStr">
        <is>
          <t>CUST-1033</t>
        </is>
      </c>
      <c r="G13" s="2" t="inlineStr">
        <is>
          <t>Dew*** ari</t>
        </is>
      </c>
      <c r="H13" s="2" t="inlineStr">
        <is>
          <t>317584******9134</t>
        </is>
      </c>
      <c r="I13" s="2" t="inlineStr">
        <is>
          <t>0812****111</t>
        </is>
      </c>
      <c r="J13" s="2" t="inlineStr">
        <is>
          <t>PRIORITAS</t>
        </is>
      </c>
      <c r="K13" s="2" t="inlineStr">
        <is>
          <t>Surabaya</t>
        </is>
      </c>
    </row>
    <row r="14">
      <c r="A14" s="2" t="inlineStr">
        <is>
          <t>TRX-20260821-10001</t>
        </is>
      </c>
      <c r="B14" s="3" t="inlineStr">
        <is>
          <t>2026-08-21 14:41:33</t>
        </is>
      </c>
      <c r="C14" s="4" t="n">
        <v>2500000</v>
      </c>
      <c r="D14" s="2" t="inlineStr">
        <is>
          <t>Credit Card</t>
        </is>
      </c>
      <c r="E14" s="2" t="inlineStr">
        <is>
          <t>SUCCESS</t>
        </is>
      </c>
      <c r="F14" s="2" t="inlineStr">
        <is>
          <t>CUST-1013</t>
        </is>
      </c>
      <c r="G14" s="2" t="inlineStr">
        <is>
          <t>Bam*** nto</t>
        </is>
      </c>
      <c r="H14" s="2" t="inlineStr">
        <is>
          <t>317989******8205</t>
        </is>
      </c>
      <c r="I14" s="2" t="inlineStr">
        <is>
          <t>0812****680</t>
        </is>
      </c>
      <c r="J14" s="2" t="inlineStr">
        <is>
          <t>PRIORITAS</t>
        </is>
      </c>
      <c r="K14" s="2" t="inlineStr">
        <is>
          <t>Denpasar</t>
        </is>
      </c>
    </row>
    <row r="15">
      <c r="A15" s="2" t="inlineStr">
        <is>
          <t>TRX-20260819-10017</t>
        </is>
      </c>
      <c r="B15" s="3" t="inlineStr">
        <is>
          <t>2026-08-19 14:49:42</t>
        </is>
      </c>
      <c r="C15" s="4" t="n">
        <v>4750000</v>
      </c>
      <c r="D15" s="2" t="inlineStr">
        <is>
          <t>Credit Card</t>
        </is>
      </c>
      <c r="E15" s="2" t="inlineStr">
        <is>
          <t>SUCCESS</t>
        </is>
      </c>
      <c r="F15" s="2" t="inlineStr">
        <is>
          <t>CUST-1004</t>
        </is>
      </c>
      <c r="G15" s="2" t="inlineStr">
        <is>
          <t>Hen*** aya</t>
        </is>
      </c>
      <c r="H15" s="2" t="inlineStr">
        <is>
          <t>317543******4375</t>
        </is>
      </c>
      <c r="I15" s="2" t="inlineStr">
        <is>
          <t>0812****506</t>
        </is>
      </c>
      <c r="J15" s="2" t="inlineStr">
        <is>
          <t>PRIORITAS</t>
        </is>
      </c>
      <c r="K15" s="2" t="inlineStr">
        <is>
          <t>Surabaya</t>
        </is>
      </c>
    </row>
    <row r="16">
      <c r="A16" s="2" t="inlineStr">
        <is>
          <t>TRX-20260817-10034</t>
        </is>
      </c>
      <c r="B16" s="3" t="inlineStr">
        <is>
          <t>2026-08-17 21:16:53</t>
        </is>
      </c>
      <c r="C16" s="4" t="n">
        <v>65000000</v>
      </c>
      <c r="D16" s="2" t="inlineStr">
        <is>
          <t>Credit Card</t>
        </is>
      </c>
      <c r="E16" s="2" t="inlineStr">
        <is>
          <t>SUCCESS</t>
        </is>
      </c>
      <c r="F16" s="2" t="inlineStr">
        <is>
          <t>CUST-1026</t>
        </is>
      </c>
      <c r="G16" s="2" t="inlineStr">
        <is>
          <t>Ind*** ata</t>
        </is>
      </c>
      <c r="H16" s="2" t="inlineStr">
        <is>
          <t>317947******6427</t>
        </is>
      </c>
      <c r="I16" s="2" t="inlineStr">
        <is>
          <t>0812****381</t>
        </is>
      </c>
      <c r="J16" s="2" t="inlineStr">
        <is>
          <t>PRIORITAS</t>
        </is>
      </c>
      <c r="K16" s="2" t="inlineStr">
        <is>
          <t>Bandung</t>
        </is>
      </c>
    </row>
    <row r="17">
      <c r="A17" s="2" t="inlineStr">
        <is>
          <t>TRX-20260817-10031</t>
        </is>
      </c>
      <c r="B17" s="3" t="inlineStr">
        <is>
          <t>2026-08-17 17:00:06</t>
        </is>
      </c>
      <c r="C17" s="4" t="n">
        <v>4750000</v>
      </c>
      <c r="D17" s="2" t="inlineStr">
        <is>
          <t>QRIS</t>
        </is>
      </c>
      <c r="E17" s="2" t="inlineStr">
        <is>
          <t>SUCCESS</t>
        </is>
      </c>
      <c r="F17" s="2" t="inlineStr">
        <is>
          <t>CUST-1071</t>
        </is>
      </c>
      <c r="G17" s="2" t="inlineStr">
        <is>
          <t>Bud*** oso</t>
        </is>
      </c>
      <c r="H17" s="2" t="inlineStr">
        <is>
          <t>317768******4168</t>
        </is>
      </c>
      <c r="I17" s="2" t="inlineStr">
        <is>
          <t>0812****614</t>
        </is>
      </c>
      <c r="J17" s="2" t="inlineStr">
        <is>
          <t>PRIORITAS</t>
        </is>
      </c>
      <c r="K17" s="2" t="inlineStr">
        <is>
          <t>Surabaya</t>
        </is>
      </c>
    </row>
    <row r="18">
      <c r="A18" s="2" t="inlineStr">
        <is>
          <t>TRX-20260816-10010</t>
        </is>
      </c>
      <c r="B18" s="3" t="inlineStr">
        <is>
          <t>2026-08-16 14:25:06</t>
        </is>
      </c>
      <c r="C18" s="4" t="n">
        <v>15000000</v>
      </c>
      <c r="D18" s="2" t="inlineStr">
        <is>
          <t>QRIS</t>
        </is>
      </c>
      <c r="E18" s="2" t="inlineStr">
        <is>
          <t>SUCCESS</t>
        </is>
      </c>
      <c r="F18" s="2" t="inlineStr">
        <is>
          <t>CUST-1065</t>
        </is>
      </c>
      <c r="G18" s="2" t="inlineStr">
        <is>
          <t>Bud*** oso</t>
        </is>
      </c>
      <c r="H18" s="2" t="inlineStr">
        <is>
          <t>317780******4725</t>
        </is>
      </c>
      <c r="I18" s="2" t="inlineStr">
        <is>
          <t>0812****918</t>
        </is>
      </c>
      <c r="J18" s="2" t="inlineStr">
        <is>
          <t>PRIORITAS</t>
        </is>
      </c>
      <c r="K18" s="2" t="inlineStr">
        <is>
          <t>Medan</t>
        </is>
      </c>
    </row>
    <row r="19">
      <c r="A19" s="2" t="inlineStr">
        <is>
          <t>TRX-20260811-10009</t>
        </is>
      </c>
      <c r="B19" s="3" t="inlineStr">
        <is>
          <t>2026-08-11 15:02:16</t>
        </is>
      </c>
      <c r="C19" s="4" t="n">
        <v>15000000</v>
      </c>
      <c r="D19" s="2" t="inlineStr">
        <is>
          <t>Credit Card</t>
        </is>
      </c>
      <c r="E19" s="2" t="inlineStr">
        <is>
          <t>SUCCESS</t>
        </is>
      </c>
      <c r="F19" s="2" t="inlineStr">
        <is>
          <t>CUST-1003</t>
        </is>
      </c>
      <c r="G19" s="2" t="inlineStr">
        <is>
          <t>Dew*** ari</t>
        </is>
      </c>
      <c r="H19" s="2" t="inlineStr">
        <is>
          <t>317157******7135</t>
        </is>
      </c>
      <c r="I19" s="2" t="inlineStr">
        <is>
          <t>0812****231</t>
        </is>
      </c>
      <c r="J19" s="2" t="inlineStr">
        <is>
          <t>PRIORITAS</t>
        </is>
      </c>
      <c r="K19" s="2" t="inlineStr">
        <is>
          <t>Jakarta Selatan</t>
        </is>
      </c>
    </row>
    <row r="20">
      <c r="A20" s="2" t="inlineStr">
        <is>
          <t>TRX-20260810-10005</t>
        </is>
      </c>
      <c r="B20" s="3" t="inlineStr">
        <is>
          <t>2026-08-10 12:01:07</t>
        </is>
      </c>
      <c r="C20" s="4" t="n">
        <v>42000000</v>
      </c>
      <c r="D20" s="2" t="inlineStr">
        <is>
          <t>Bank Transfer</t>
        </is>
      </c>
      <c r="E20" s="2" t="inlineStr">
        <is>
          <t>SUCCESS</t>
        </is>
      </c>
      <c r="F20" s="2" t="inlineStr">
        <is>
          <t>CUST-1041</t>
        </is>
      </c>
      <c r="G20" s="2" t="inlineStr">
        <is>
          <t>Sit*** ati</t>
        </is>
      </c>
      <c r="H20" s="2" t="inlineStr">
        <is>
          <t>317967******2486</t>
        </is>
      </c>
      <c r="I20" s="2" t="inlineStr">
        <is>
          <t>0812****540</t>
        </is>
      </c>
      <c r="J20" s="2" t="inlineStr">
        <is>
          <t>PRIORITAS</t>
        </is>
      </c>
      <c r="K20" s="2" t="inlineStr">
        <is>
          <t>Tangerang</t>
        </is>
      </c>
    </row>
    <row r="21">
      <c r="A21" s="2" t="inlineStr">
        <is>
          <t>TRX-20260805-10029</t>
        </is>
      </c>
      <c r="B21" s="3" t="inlineStr">
        <is>
          <t>2026-08-05 21:00:52</t>
        </is>
      </c>
      <c r="C21" s="4" t="n">
        <v>15000000</v>
      </c>
      <c r="D21" s="2" t="inlineStr">
        <is>
          <t>Credit Card</t>
        </is>
      </c>
      <c r="E21" s="2" t="inlineStr">
        <is>
          <t>SUCCESS</t>
        </is>
      </c>
      <c r="F21" s="2" t="inlineStr">
        <is>
          <t>CUST-1037</t>
        </is>
      </c>
      <c r="G21" s="2" t="inlineStr">
        <is>
          <t>Dew*** ari</t>
        </is>
      </c>
      <c r="H21" s="2" t="inlineStr">
        <is>
          <t>317172******8246</t>
        </is>
      </c>
      <c r="I21" s="2" t="inlineStr">
        <is>
          <t>0812****326</t>
        </is>
      </c>
      <c r="J21" s="2" t="inlineStr">
        <is>
          <t>PRIORITAS</t>
        </is>
      </c>
      <c r="K21" s="2" t="inlineStr">
        <is>
          <t>Jakarta Selatan</t>
        </is>
      </c>
    </row>
    <row r="22">
      <c r="A22" s="2" t="inlineStr">
        <is>
          <t>TRX-20260803-10002</t>
        </is>
      </c>
      <c r="B22" s="3" t="inlineStr">
        <is>
          <t>2026-08-03 17:46:28</t>
        </is>
      </c>
      <c r="C22" s="4" t="n">
        <v>15000000</v>
      </c>
      <c r="D22" s="2" t="inlineStr">
        <is>
          <t>Bank Transfer</t>
        </is>
      </c>
      <c r="E22" s="2" t="inlineStr">
        <is>
          <t>SUCCESS</t>
        </is>
      </c>
      <c r="F22" s="2" t="inlineStr">
        <is>
          <t>CUST-1065</t>
        </is>
      </c>
      <c r="G22" s="2" t="inlineStr">
        <is>
          <t>May*** ini</t>
        </is>
      </c>
      <c r="H22" s="2" t="inlineStr">
        <is>
          <t>317911******8897</t>
        </is>
      </c>
      <c r="I22" s="2" t="inlineStr">
        <is>
          <t>0812****386</t>
        </is>
      </c>
      <c r="J22" s="2" t="inlineStr">
        <is>
          <t>PRIORITAS</t>
        </is>
      </c>
      <c r="K22" s="2" t="inlineStr">
        <is>
          <t>Bandung</t>
        </is>
      </c>
    </row>
    <row r="23">
      <c r="A23" s="2" t="inlineStr">
        <is>
          <t>TRX-20260727-10015</t>
        </is>
      </c>
      <c r="B23" s="3" t="inlineStr">
        <is>
          <t>2026-07-27 20:43:53</t>
        </is>
      </c>
      <c r="C23" s="4" t="n">
        <v>2500000</v>
      </c>
      <c r="D23" s="2" t="inlineStr">
        <is>
          <t>Bank Transfer</t>
        </is>
      </c>
      <c r="E23" s="2" t="inlineStr">
        <is>
          <t>SUCCESS</t>
        </is>
      </c>
      <c r="F23" s="2" t="inlineStr">
        <is>
          <t>CUST-1050</t>
        </is>
      </c>
      <c r="G23" s="2" t="inlineStr">
        <is>
          <t>Hen*** aya</t>
        </is>
      </c>
      <c r="H23" s="2" t="inlineStr">
        <is>
          <t>317600******2196</t>
        </is>
      </c>
      <c r="I23" s="2" t="inlineStr">
        <is>
          <t>0812****971</t>
        </is>
      </c>
      <c r="J23" s="2" t="inlineStr">
        <is>
          <t>PRIORITAS</t>
        </is>
      </c>
      <c r="K23" s="2" t="inlineStr">
        <is>
          <t>Surabaya</t>
        </is>
      </c>
    </row>
    <row r="24">
      <c r="A24" s="2" t="inlineStr">
        <is>
          <t>TRX-20260725-10018</t>
        </is>
      </c>
      <c r="B24" s="3" t="inlineStr">
        <is>
          <t>2026-07-25 21:16:23</t>
        </is>
      </c>
      <c r="C24" s="4" t="n">
        <v>4750000</v>
      </c>
      <c r="D24" s="2" t="inlineStr">
        <is>
          <t>Credit Card</t>
        </is>
      </c>
      <c r="E24" s="2" t="inlineStr">
        <is>
          <t>SUCCESS</t>
        </is>
      </c>
      <c r="F24" s="2" t="inlineStr">
        <is>
          <t>CUST-1095</t>
        </is>
      </c>
      <c r="G24" s="2" t="inlineStr">
        <is>
          <t>Bam*** nto</t>
        </is>
      </c>
      <c r="H24" s="2" t="inlineStr">
        <is>
          <t>317961******3334</t>
        </is>
      </c>
      <c r="I24" s="2" t="inlineStr">
        <is>
          <t>0812****965</t>
        </is>
      </c>
      <c r="J24" s="2" t="inlineStr">
        <is>
          <t>PRIORITAS</t>
        </is>
      </c>
      <c r="K24" s="2" t="inlineStr">
        <is>
          <t>Surabaya</t>
        </is>
      </c>
    </row>
    <row r="25">
      <c r="A25" s="2" t="inlineStr">
        <is>
          <t>TRX-20260724-10023</t>
        </is>
      </c>
      <c r="B25" s="3" t="inlineStr">
        <is>
          <t>2026-07-24 20:37:03</t>
        </is>
      </c>
      <c r="C25" s="4" t="n">
        <v>4750000</v>
      </c>
      <c r="D25" s="2" t="inlineStr">
        <is>
          <t>Bank Transfer</t>
        </is>
      </c>
      <c r="E25" s="2" t="inlineStr">
        <is>
          <t>SUCCESS</t>
        </is>
      </c>
      <c r="F25" s="2" t="inlineStr">
        <is>
          <t>CUST-1070</t>
        </is>
      </c>
      <c r="G25" s="2" t="inlineStr">
        <is>
          <t>Bam*** nto</t>
        </is>
      </c>
      <c r="H25" s="2" t="inlineStr">
        <is>
          <t>317330******2564</t>
        </is>
      </c>
      <c r="I25" s="2" t="inlineStr">
        <is>
          <t>0812****381</t>
        </is>
      </c>
      <c r="J25" s="2" t="inlineStr">
        <is>
          <t>PRIORITAS</t>
        </is>
      </c>
      <c r="K25" s="2" t="inlineStr">
        <is>
          <t>Medan</t>
        </is>
      </c>
    </row>
    <row r="26">
      <c r="A26" s="2" t="inlineStr">
        <is>
          <t>TRX-20260719-10019</t>
        </is>
      </c>
      <c r="B26" s="3" t="inlineStr">
        <is>
          <t>2026-07-19 10:48:31</t>
        </is>
      </c>
      <c r="C26" s="4" t="n">
        <v>42000000</v>
      </c>
      <c r="D26" s="2" t="inlineStr">
        <is>
          <t>Credit Card</t>
        </is>
      </c>
      <c r="E26" s="2" t="inlineStr">
        <is>
          <t>SUCCESS</t>
        </is>
      </c>
      <c r="F26" s="2" t="inlineStr">
        <is>
          <t>CUST-1030</t>
        </is>
      </c>
      <c r="G26" s="2" t="inlineStr">
        <is>
          <t>Bud*** oso</t>
        </is>
      </c>
      <c r="H26" s="2" t="inlineStr">
        <is>
          <t>317898******8539</t>
        </is>
      </c>
      <c r="I26" s="2" t="inlineStr">
        <is>
          <t>0812****268</t>
        </is>
      </c>
      <c r="J26" s="2" t="inlineStr">
        <is>
          <t>PRIORITAS</t>
        </is>
      </c>
      <c r="K26" s="2" t="inlineStr">
        <is>
          <t>Semarang</t>
        </is>
      </c>
    </row>
    <row r="27">
      <c r="A27" s="2" t="inlineStr">
        <is>
          <t>TRX-20260715-10022</t>
        </is>
      </c>
      <c r="B27" s="3" t="inlineStr">
        <is>
          <t>2026-07-15 17:59:24</t>
        </is>
      </c>
      <c r="C27" s="4" t="n">
        <v>8900000</v>
      </c>
      <c r="D27" s="2" t="inlineStr">
        <is>
          <t>Credit Card</t>
        </is>
      </c>
      <c r="E27" s="2" t="inlineStr">
        <is>
          <t>SUCCESS</t>
        </is>
      </c>
      <c r="F27" s="2" t="inlineStr">
        <is>
          <t>CUST-1049</t>
        </is>
      </c>
      <c r="G27" s="2" t="inlineStr">
        <is>
          <t>Agu*** wan</t>
        </is>
      </c>
      <c r="H27" s="2" t="inlineStr">
        <is>
          <t>317142******2887</t>
        </is>
      </c>
      <c r="I27" s="2" t="inlineStr">
        <is>
          <t>0812****829</t>
        </is>
      </c>
      <c r="J27" s="2" t="inlineStr">
        <is>
          <t>PRIORITAS</t>
        </is>
      </c>
      <c r="K27" s="2" t="inlineStr">
        <is>
          <t>Bandung</t>
        </is>
      </c>
    </row>
    <row r="28">
      <c r="A28" s="2" t="inlineStr">
        <is>
          <t>TRX-20260711-10026</t>
        </is>
      </c>
      <c r="B28" s="3" t="inlineStr">
        <is>
          <t>2026-07-11 16:20:40</t>
        </is>
      </c>
      <c r="C28" s="4" t="n">
        <v>15000000</v>
      </c>
      <c r="D28" s="2" t="inlineStr">
        <is>
          <t>Bank Transfer</t>
        </is>
      </c>
      <c r="E28" s="2" t="inlineStr">
        <is>
          <t>SUCCESS</t>
        </is>
      </c>
      <c r="F28" s="2" t="inlineStr">
        <is>
          <t>CUST-1093</t>
        </is>
      </c>
      <c r="G28" s="2" t="inlineStr">
        <is>
          <t>Dew*** ari</t>
        </is>
      </c>
      <c r="H28" s="2" t="inlineStr">
        <is>
          <t>317719******6407</t>
        </is>
      </c>
      <c r="I28" s="2" t="inlineStr">
        <is>
          <t>0812****429</t>
        </is>
      </c>
      <c r="J28" s="2" t="inlineStr">
        <is>
          <t>PRIORITAS</t>
        </is>
      </c>
      <c r="K28" s="2" t="inlineStr">
        <is>
          <t>Denpasar</t>
        </is>
      </c>
    </row>
    <row r="29">
      <c r="A29" s="2" t="inlineStr">
        <is>
          <t>TRX-20260710-10011</t>
        </is>
      </c>
      <c r="B29" s="3" t="inlineStr">
        <is>
          <t>2026-07-10 16:44:19</t>
        </is>
      </c>
      <c r="C29" s="4" t="n">
        <v>27500000</v>
      </c>
      <c r="D29" s="2" t="inlineStr">
        <is>
          <t>Bank Transfer</t>
        </is>
      </c>
      <c r="E29" s="2" t="inlineStr">
        <is>
          <t>SUCCESS</t>
        </is>
      </c>
      <c r="F29" s="2" t="inlineStr">
        <is>
          <t>CUST-1062</t>
        </is>
      </c>
      <c r="G29" s="2" t="inlineStr">
        <is>
          <t>Bam*** nto</t>
        </is>
      </c>
      <c r="H29" s="2" t="inlineStr">
        <is>
          <t>317657******3814</t>
        </is>
      </c>
      <c r="I29" s="2" t="inlineStr">
        <is>
          <t>0812****566</t>
        </is>
      </c>
      <c r="J29" s="2" t="inlineStr">
        <is>
          <t>PRIORITAS</t>
        </is>
      </c>
      <c r="K29" s="2" t="inlineStr">
        <is>
          <t>Medan</t>
        </is>
      </c>
    </row>
    <row r="30">
      <c r="A30" s="2" t="inlineStr">
        <is>
          <t>TRX-20260707-10014</t>
        </is>
      </c>
      <c r="B30" s="3" t="inlineStr">
        <is>
          <t>2026-07-07 18:44:50</t>
        </is>
      </c>
      <c r="C30" s="4" t="n">
        <v>27500000</v>
      </c>
      <c r="D30" s="2" t="inlineStr">
        <is>
          <t>Bank Transfer</t>
        </is>
      </c>
      <c r="E30" s="2" t="inlineStr">
        <is>
          <t>SUCCESS</t>
        </is>
      </c>
      <c r="F30" s="2" t="inlineStr">
        <is>
          <t>CUST-1074</t>
        </is>
      </c>
      <c r="G30" s="2" t="inlineStr">
        <is>
          <t>Bam*** nto</t>
        </is>
      </c>
      <c r="H30" s="2" t="inlineStr">
        <is>
          <t>317102******4716</t>
        </is>
      </c>
      <c r="I30" s="2" t="inlineStr">
        <is>
          <t>0812****103</t>
        </is>
      </c>
      <c r="J30" s="2" t="inlineStr">
        <is>
          <t>PRIORITAS</t>
        </is>
      </c>
      <c r="K30" s="2" t="inlineStr">
        <is>
          <t>Semarang</t>
        </is>
      </c>
    </row>
    <row r="31">
      <c r="A31" s="2" t="inlineStr">
        <is>
          <t>TRX-20260705-10035</t>
        </is>
      </c>
      <c r="B31" s="3" t="inlineStr">
        <is>
          <t>2026-07-05 15:17:17</t>
        </is>
      </c>
      <c r="C31" s="4" t="n">
        <v>4750000</v>
      </c>
      <c r="D31" s="2" t="inlineStr">
        <is>
          <t>QRIS</t>
        </is>
      </c>
      <c r="E31" s="2" t="inlineStr">
        <is>
          <t>SUCCESS</t>
        </is>
      </c>
      <c r="F31" s="2" t="inlineStr">
        <is>
          <t>CUST-1096</t>
        </is>
      </c>
      <c r="G31" s="2" t="inlineStr">
        <is>
          <t>Agu*** wan</t>
        </is>
      </c>
      <c r="H31" s="2" t="inlineStr">
        <is>
          <t>317822******1286</t>
        </is>
      </c>
      <c r="I31" s="2" t="inlineStr">
        <is>
          <t>0812****555</t>
        </is>
      </c>
      <c r="J31" s="2" t="inlineStr">
        <is>
          <t>PRIORITAS</t>
        </is>
      </c>
      <c r="K31" s="2" t="inlineStr">
        <is>
          <t>Semarang</t>
        </is>
      </c>
    </row>
    <row r="32">
      <c r="A32" s="2" t="inlineStr">
        <is>
          <t>TRX-20260704-10030</t>
        </is>
      </c>
      <c r="B32" s="3" t="inlineStr">
        <is>
          <t>2026-07-04 17:16:34</t>
        </is>
      </c>
      <c r="C32" s="4" t="n">
        <v>8900000</v>
      </c>
      <c r="D32" s="2" t="inlineStr">
        <is>
          <t>QRIS</t>
        </is>
      </c>
      <c r="E32" s="2" t="inlineStr">
        <is>
          <t>SUCCESS</t>
        </is>
      </c>
      <c r="F32" s="2" t="inlineStr">
        <is>
          <t>CUST-1071</t>
        </is>
      </c>
      <c r="G32" s="2" t="inlineStr">
        <is>
          <t>Agu*** wan</t>
        </is>
      </c>
      <c r="H32" s="2" t="inlineStr">
        <is>
          <t>317200******7361</t>
        </is>
      </c>
      <c r="I32" s="2" t="inlineStr">
        <is>
          <t>0812****558</t>
        </is>
      </c>
      <c r="J32" s="2" t="inlineStr">
        <is>
          <t>PRIORITAS</t>
        </is>
      </c>
      <c r="K32" s="2" t="inlineStr">
        <is>
          <t>Tangerang</t>
        </is>
      </c>
    </row>
    <row r="33">
      <c r="A33" s="2" t="inlineStr">
        <is>
          <t>TRX-20260704-10016</t>
        </is>
      </c>
      <c r="B33" s="3" t="inlineStr">
        <is>
          <t>2026-07-04 15:20:56</t>
        </is>
      </c>
      <c r="C33" s="4" t="n">
        <v>42000000</v>
      </c>
      <c r="D33" s="2" t="inlineStr">
        <is>
          <t>QRIS</t>
        </is>
      </c>
      <c r="E33" s="2" t="inlineStr">
        <is>
          <t>SUCCESS</t>
        </is>
      </c>
      <c r="F33" s="2" t="inlineStr">
        <is>
          <t>CUST-1082</t>
        </is>
      </c>
      <c r="G33" s="2" t="inlineStr">
        <is>
          <t>Sit*** ati</t>
        </is>
      </c>
      <c r="H33" s="2" t="inlineStr">
        <is>
          <t>317132******1784</t>
        </is>
      </c>
      <c r="I33" s="2" t="inlineStr">
        <is>
          <t>0812****220</t>
        </is>
      </c>
      <c r="J33" s="2" t="inlineStr">
        <is>
          <t>PRIORITAS</t>
        </is>
      </c>
      <c r="K33" s="2" t="inlineStr">
        <is>
          <t>Denpasar</t>
        </is>
      </c>
    </row>
    <row r="34">
      <c r="A34" s="2" t="inlineStr">
        <is>
          <t>TRX-20260703-10032</t>
        </is>
      </c>
      <c r="B34" s="3" t="inlineStr">
        <is>
          <t>2026-07-03 16:43:33</t>
        </is>
      </c>
      <c r="C34" s="4" t="n">
        <v>2500000</v>
      </c>
      <c r="D34" s="2" t="inlineStr">
        <is>
          <t>QRIS</t>
        </is>
      </c>
      <c r="E34" s="2" t="inlineStr">
        <is>
          <t>SUCCESS</t>
        </is>
      </c>
      <c r="F34" s="2" t="inlineStr">
        <is>
          <t>CUST-1003</t>
        </is>
      </c>
      <c r="G34" s="2" t="inlineStr">
        <is>
          <t>Rin*** ina</t>
        </is>
      </c>
      <c r="H34" s="2" t="inlineStr">
        <is>
          <t>317722******7383</t>
        </is>
      </c>
      <c r="I34" s="2" t="inlineStr">
        <is>
          <t>0812****757</t>
        </is>
      </c>
      <c r="J34" s="2" t="inlineStr">
        <is>
          <t>PRIORITAS</t>
        </is>
      </c>
      <c r="K34" s="2" t="inlineStr">
        <is>
          <t>Jakarta Selatan</t>
        </is>
      </c>
    </row>
    <row r="35">
      <c r="A35" s="2" t="inlineStr">
        <is>
          <t>TRX-20260703-10008</t>
        </is>
      </c>
      <c r="B35" s="3" t="inlineStr">
        <is>
          <t>2026-07-03 10:50:20</t>
        </is>
      </c>
      <c r="C35" s="4" t="n">
        <v>15000000</v>
      </c>
      <c r="D35" s="2" t="inlineStr">
        <is>
          <t>Bank Transfer</t>
        </is>
      </c>
      <c r="E35" s="2" t="inlineStr">
        <is>
          <t>SUCCESS</t>
        </is>
      </c>
      <c r="F35" s="2" t="inlineStr">
        <is>
          <t>CUST-1078</t>
        </is>
      </c>
      <c r="G35" s="2" t="inlineStr">
        <is>
          <t>Bud*** oso</t>
        </is>
      </c>
      <c r="H35" s="2" t="inlineStr">
        <is>
          <t>317869******8133</t>
        </is>
      </c>
      <c r="I35" s="2" t="inlineStr">
        <is>
          <t>0812****328</t>
        </is>
      </c>
      <c r="J35" s="2" t="inlineStr">
        <is>
          <t>PRIORITAS</t>
        </is>
      </c>
      <c r="K35" s="2" t="inlineStr">
        <is>
          <t>Semarang</t>
        </is>
      </c>
    </row>
    <row r="36">
      <c r="A36" s="2" t="inlineStr">
        <is>
          <t>TRX-20260702-10021</t>
        </is>
      </c>
      <c r="B36" s="3" t="inlineStr">
        <is>
          <t>2026-07-02 17:01:39</t>
        </is>
      </c>
      <c r="C36" s="4" t="n">
        <v>15000000</v>
      </c>
      <c r="D36" s="2" t="inlineStr">
        <is>
          <t>Bank Transfer</t>
        </is>
      </c>
      <c r="E36" s="2" t="inlineStr">
        <is>
          <t>SUCCESS</t>
        </is>
      </c>
      <c r="F36" s="2" t="inlineStr">
        <is>
          <t>CUST-1093</t>
        </is>
      </c>
      <c r="G36" s="2" t="inlineStr">
        <is>
          <t>Eko*** tyo</t>
        </is>
      </c>
      <c r="H36" s="2" t="inlineStr">
        <is>
          <t>317692******1066</t>
        </is>
      </c>
      <c r="I36" s="2" t="inlineStr">
        <is>
          <t>0812****366</t>
        </is>
      </c>
      <c r="J36" s="2" t="inlineStr">
        <is>
          <t>PRIORITAS</t>
        </is>
      </c>
      <c r="K36" s="2" t="inlineStr">
        <is>
          <t>Tangerang</t>
        </is>
      </c>
    </row>
    <row r="37">
      <c r="A37" s="5" t="inlineStr">
        <is>
          <t>TOTAL / SUB-TOTAL</t>
        </is>
      </c>
      <c r="B37" s="6">
        <f>SUBTOTAL(103, B2:B36)</f>
        <v/>
      </c>
      <c r="C37" s="7">
        <f>SUBTOTAL(109, C2:C36)</f>
        <v/>
      </c>
      <c r="D37" s="8" t="n"/>
      <c r="E37" s="8" t="n"/>
      <c r="F37" s="6">
        <f>SUBTOTAL(103, F2:F36)</f>
        <v/>
      </c>
      <c r="G37" s="8" t="n"/>
      <c r="H37" s="8" t="n"/>
      <c r="I37" s="8" t="n"/>
      <c r="J37" s="8" t="n"/>
      <c r="K37" s="8" t="n"/>
    </row>
  </sheetData>
  <autoFilter ref="A1:K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5" customWidth="1" min="1" max="1"/>
    <col width="75" customWidth="1" min="2" max="2"/>
  </cols>
  <sheetData>
    <row r="1">
      <c r="A1" s="9" t="inlineStr">
        <is>
          <t>LOG AUDIT &amp; PROVENANCE DATA PERMOHONAN</t>
        </is>
      </c>
    </row>
    <row r="3">
      <c r="A3" s="10" t="inlineStr">
        <is>
          <t>ID Dokumen Permohonan</t>
        </is>
      </c>
      <c r="B3" s="11" t="inlineStr">
        <is>
          <t>REQ-2026-KMK-114</t>
        </is>
      </c>
    </row>
    <row r="4">
      <c r="A4" s="10" t="inlineStr">
        <is>
          <t>Judul Permohonan</t>
        </is>
      </c>
      <c r="B4" s="11" t="inlineStr">
        <is>
          <t>FORMULIR PERMOHONAN REKONSILIASI DATA TRANSAKSI PENERIMAAN NEGARA</t>
        </is>
      </c>
    </row>
    <row r="5">
      <c r="A5" s="10" t="inlineStr">
        <is>
          <t>Nama Pemohon</t>
        </is>
      </c>
      <c r="B5" s="11" t="inlineStr">
        <is>
          <t>Siti Sarah, S.T.</t>
        </is>
      </c>
    </row>
    <row r="6">
      <c r="A6" s="10" t="inlineStr">
        <is>
          <t>Unit Kerja / Divisi</t>
        </is>
      </c>
      <c r="B6" s="11" t="inlineStr">
        <is>
          <t>Internal Kemenkeu</t>
        </is>
      </c>
    </row>
    <row r="7">
      <c r="A7" s="10" t="inlineStr">
        <is>
          <t>Tipe Proses Bisnis</t>
        </is>
      </c>
      <c r="B7" s="11" t="inlineStr">
        <is>
          <t>Penerimaan</t>
        </is>
      </c>
    </row>
    <row r="8">
      <c r="A8" s="10" t="inlineStr">
        <is>
          <t>Tujuan Penggunaan Data</t>
        </is>
      </c>
      <c r="B8" s="11" t="inlineStr">
        <is>
          <t>Data</t>
        </is>
      </c>
    </row>
    <row r="9">
      <c r="A9" s="10" t="inlineStr">
        <is>
          <t>Periode Data</t>
        </is>
      </c>
      <c r="B9" s="11" t="inlineStr">
        <is>
          <t>2026-07-01 s/d 2026-09-30</t>
        </is>
      </c>
    </row>
    <row r="10">
      <c r="A10" s="10" t="inlineStr">
        <is>
          <t>Katalog Sumber</t>
        </is>
      </c>
      <c r="B10" s="11" t="inlineStr">
        <is>
          <t>OpenMetadata Enterprise Catalog (Verified)</t>
        </is>
      </c>
    </row>
    <row r="11">
      <c r="A11" s="10" t="inlineStr">
        <is>
          <t>Status Verifikasi</t>
        </is>
      </c>
      <c r="B11" s="11" t="inlineStr">
        <is>
          <t>APPROVED (Agent-Independent-Auditor-v2)</t>
        </is>
      </c>
    </row>
    <row r="12">
      <c r="A12" s="10" t="inlineStr">
        <is>
          <t>Waktu Verifikasi</t>
        </is>
      </c>
      <c r="B12" s="11" t="inlineStr">
        <is>
          <t>2026-10-13T04:50:30.804671+00:00</t>
        </is>
      </c>
    </row>
    <row r="13">
      <c r="A13" s="10" t="inlineStr">
        <is>
          <t>Dasar Regulasi PDP</t>
        </is>
      </c>
      <c r="B13" s="11" t="inlineStr">
        <is>
          <t>UU No. 27/2022 jo. PP No. 33/2026 (LNRI 2026 No. 88)</t>
        </is>
      </c>
    </row>
    <row r="14">
      <c r="A14" s="10" t="inlineStr">
        <is>
          <t>Proteksi PII / PDP</t>
        </is>
      </c>
      <c r="B14" s="11" t="inlineStr">
        <is>
          <t>Aktif (Masking Dinamis NPWP, NIK, Nama, dan No HP - Ps. 123 PP 33/2026)</t>
        </is>
      </c>
    </row>
    <row r="15">
      <c r="A15" s="10" t="inlineStr">
        <is>
          <t>Masa Retensi Wajib</t>
        </is>
      </c>
      <c r="B15" s="11" t="inlineStr">
        <is>
          <t>Maksimal 30 hari kalender sejak penyerahan (Ps. 75 PP 33/2026)</t>
        </is>
      </c>
    </row>
    <row r="16">
      <c r="A16" s="10" t="inlineStr">
        <is>
          <t>Kewajiban Sanitasi / CoD</t>
        </is>
      </c>
      <c r="B16" s="11" t="inlineStr">
        <is>
          <t>Wajib cryptographic wipe &amp; menerbitkan Certificate of Destruction ke DIKC DJBC</t>
        </is>
      </c>
    </row>
    <row r="17">
      <c r="A17" s="10" t="inlineStr">
        <is>
          <t>Cryptographic Digital Fingerprint</t>
        </is>
      </c>
      <c r="B17" s="11" t="inlineStr">
        <is>
          <t>SHA256:f375f759e835f3f0fede5ea115eb90d74e6aac349f6d731a7ef717791b6fbaf2</t>
        </is>
      </c>
    </row>
    <row r="19">
      <c r="A19" s="12" t="inlineStr">
        <is>
          <t>QUERY SQL YANG DIJALANKAN:</t>
        </is>
      </c>
    </row>
    <row r="20">
      <c r="A20" s="13" t="inlineStr">
        <is>
          <t>-- ====================================================================
-- Query Otomatis Dibuat oleh DataRequestStudio
-- Berdasarkan Dokumen: FORMULIR PERMOHONAN REKONSILIASI DATA TRANSAKSI PENERIMAAN NEGARA (ID: REQ-2026-KMK-114)
-- Pemohon: Siti Sarah, S.T. (Internal Kemenkeu)
-- Metadata Divalidasi via: OpenMetadata Service CEISA40-PostgreSQL-DWH
-- Target Database: PostgreSQL
-- ====================================================================
SELECT
    t.transaction_id,
    t.status
FROM dwh_ceisa.perbendaharaan.fct_shipments AS t
LEFT JOIN dwh_ceisa.perbendaharaan.fct_shipments AS t
    ON fct_transactions.transaction_id = t.transaction_id
WHERE
    t.transaction_date &gt;= '2026-07-01 00:00:00'
  AND t.transaction_date &lt;= '2026-09-30 23:59:59'
ORDER BY
    t.transaction_date DESC
LIMIT 500;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A1" sqref="A1"/>
    </sheetView>
  </sheetViews>
  <sheetFormatPr baseColWidth="8" defaultRowHeight="15"/>
  <cols>
    <col width="21" customWidth="1" min="1" max="1"/>
    <col width="17" customWidth="1" min="2" max="2"/>
    <col width="70" customWidth="1" min="3" max="3"/>
    <col width="19" customWidth="1" min="4" max="4"/>
    <col width="42" customWidth="1" min="5" max="5"/>
  </cols>
  <sheetData>
    <row r="1">
      <c r="A1" s="14" t="inlineStr">
        <is>
          <t>Nama Kolom</t>
        </is>
      </c>
      <c r="B1" s="14" t="inlineStr">
        <is>
          <t>Tipe Data</t>
        </is>
      </c>
      <c r="C1" s="14" t="inlineStr">
        <is>
          <t>Deskripsi Resmi OpenMetadata</t>
        </is>
      </c>
      <c r="D1" s="14" t="inlineStr">
        <is>
          <t>Klasifikasi PII</t>
        </is>
      </c>
      <c r="E1" s="14" t="inlineStr">
        <is>
          <t>Tabel Sumber</t>
        </is>
      </c>
    </row>
    <row r="2">
      <c r="A2" s="15" t="inlineStr">
        <is>
          <t>shipment_id</t>
        </is>
      </c>
      <c r="B2" t="inlineStr">
        <is>
          <t>VARCHAR(64)</t>
        </is>
      </c>
      <c r="C2" t="inlineStr">
        <is>
          <t>Nomor resi/berkas perkara unik</t>
        </is>
      </c>
      <c r="D2" t="inlineStr">
        <is>
          <t>NON-PII</t>
        </is>
      </c>
      <c r="E2" t="inlineStr">
        <is>
          <t>dwh_ceisa.perbendaharaan.fct_shipments</t>
        </is>
      </c>
    </row>
    <row r="3">
      <c r="A3" s="15" t="inlineStr">
        <is>
          <t>transaction_id</t>
        </is>
      </c>
      <c r="B3" t="inlineStr">
        <is>
          <t>VARCHAR(64)</t>
        </is>
      </c>
      <c r="C3" t="inlineStr">
        <is>
          <t>Foreign key dokumen pabean terkait</t>
        </is>
      </c>
      <c r="D3" t="inlineStr">
        <is>
          <t>NON-PII</t>
        </is>
      </c>
      <c r="E3" t="inlineStr">
        <is>
          <t>dwh_ceisa.perbendaharaan.fct_shipments</t>
        </is>
      </c>
    </row>
    <row r="4">
      <c r="A4" s="15" t="inlineStr">
        <is>
          <t>courier_name</t>
        </is>
      </c>
      <c r="B4" t="inlineStr">
        <is>
          <t>VARCHAR(32)</t>
        </is>
      </c>
      <c r="C4" t="inlineStr">
        <is>
          <t>Nama ekspedisi/kurir kedinasan dokumen</t>
        </is>
      </c>
      <c r="D4" t="inlineStr">
        <is>
          <t>NON-PII</t>
        </is>
      </c>
      <c r="E4" t="inlineStr">
        <is>
          <t>dwh_ceisa.perbendaharaan.fct_shipments</t>
        </is>
      </c>
    </row>
    <row r="5">
      <c r="A5" s="15" t="inlineStr">
        <is>
          <t>delivery_status</t>
        </is>
      </c>
      <c r="B5" t="inlineStr">
        <is>
          <t>VARCHAR(32)</t>
        </is>
      </c>
      <c r="C5" t="inlineStr">
        <is>
          <t>Status kirim/sidang: DELIVERED, IN_TRANSIT, FAILED, SIDANG_BANDING</t>
        </is>
      </c>
      <c r="D5" t="inlineStr">
        <is>
          <t>NON-PII</t>
        </is>
      </c>
      <c r="E5" t="inlineStr">
        <is>
          <t>dwh_ceisa.perbendaharaan.fct_shipments</t>
        </is>
      </c>
    </row>
    <row r="6">
      <c r="A6" s="15" t="inlineStr">
        <is>
          <t>shipping_cost</t>
        </is>
      </c>
      <c r="B6" t="inlineStr">
        <is>
          <t>NUMERIC(10,2)</t>
        </is>
      </c>
      <c r="C6" t="inlineStr">
        <is>
          <t>Biaya penanganan administrasi (IDR)</t>
        </is>
      </c>
      <c r="D6" t="inlineStr">
        <is>
          <t>NON-PII</t>
        </is>
      </c>
      <c r="E6" t="inlineStr">
        <is>
          <t>dwh_ceisa.perbendaharaan.fct_shipments</t>
        </is>
      </c>
    </row>
    <row r="7">
      <c r="A7" s="15" t="inlineStr">
        <is>
          <t>dispatch_date</t>
        </is>
      </c>
      <c r="B7" t="inlineStr">
        <is>
          <t>TIMESTAMP</t>
        </is>
      </c>
      <c r="C7" t="inlineStr">
        <is>
          <t>Waktu dokumen dikirimkan ke pemohon</t>
        </is>
      </c>
      <c r="D7" t="inlineStr">
        <is>
          <t>NON-PII</t>
        </is>
      </c>
      <c r="E7" t="inlineStr">
        <is>
          <t>dwh_ceisa.perbendaharaan.fct_shipments</t>
        </is>
      </c>
    </row>
    <row r="8">
      <c r="A8" s="15" t="inlineStr">
        <is>
          <t>received_date</t>
        </is>
      </c>
      <c r="B8" t="inlineStr">
        <is>
          <t>TIMESTAMP</t>
        </is>
      </c>
      <c r="C8" t="inlineStr">
        <is>
          <t>Waktu tanda terima keputusan oleh pemohon</t>
        </is>
      </c>
      <c r="D8" t="inlineStr">
        <is>
          <t>NON-PII</t>
        </is>
      </c>
      <c r="E8" t="inlineStr">
        <is>
          <t>dwh_ceisa.perbendaharaan.fct_shipments</t>
        </is>
      </c>
    </row>
    <row r="9">
      <c r="A9" s="15" t="inlineStr">
        <is>
          <t>nomor_pib</t>
        </is>
      </c>
      <c r="B9" t="inlineStr">
        <is>
          <t>VARCHAR(32)</t>
        </is>
      </c>
      <c r="C9" t="inlineStr">
        <is>
          <t>Nomor pendaftaran PIB resmi</t>
        </is>
      </c>
      <c r="D9" t="inlineStr">
        <is>
          <t>NON-PII</t>
        </is>
      </c>
      <c r="E9" t="inlineStr">
        <is>
          <t>dwh_ceisa.impor.fct_pib_impor</t>
        </is>
      </c>
    </row>
    <row r="10">
      <c r="A10" s="15" t="inlineStr">
        <is>
          <t>tanggal_pib</t>
        </is>
      </c>
      <c r="B10" t="inlineStr">
        <is>
          <t>TIMESTAMP</t>
        </is>
      </c>
      <c r="C10" t="inlineStr">
        <is>
          <t>Tanggal pendaftaran dokumen PIB</t>
        </is>
      </c>
      <c r="D10" t="inlineStr">
        <is>
          <t>NON-PII</t>
        </is>
      </c>
      <c r="E10" t="inlineStr">
        <is>
          <t>dwh_ceisa.impor.fct_pib_impor</t>
        </is>
      </c>
    </row>
    <row r="11">
      <c r="A11" s="15" t="inlineStr">
        <is>
          <t>npwp_importir</t>
        </is>
      </c>
      <c r="B11" t="inlineStr">
        <is>
          <t>VARCHAR(20)</t>
        </is>
      </c>
      <c r="C11" t="inlineStr">
        <is>
          <t>NPWP perusahaan importir</t>
        </is>
      </c>
      <c r="D11" t="inlineStr">
        <is>
          <t>SENSITIF (PII)</t>
        </is>
      </c>
      <c r="E11" t="inlineStr">
        <is>
          <t>dwh_ceisa.impor.fct_pib_impor</t>
        </is>
      </c>
    </row>
    <row r="12">
      <c r="A12" s="15" t="inlineStr">
        <is>
          <t>nama_importir</t>
        </is>
      </c>
      <c r="B12" t="inlineStr">
        <is>
          <t>VARCHAR(128)</t>
        </is>
      </c>
      <c r="C12" t="inlineStr">
        <is>
          <t>Nama entitas importir</t>
        </is>
      </c>
      <c r="D12" t="inlineStr">
        <is>
          <t>SENSITIF (PII)</t>
        </is>
      </c>
      <c r="E12" t="inlineStr">
        <is>
          <t>dwh_ceisa.impor.fct_pib_impor</t>
        </is>
      </c>
    </row>
    <row r="13">
      <c r="A13" s="15" t="inlineStr">
        <is>
          <t>kode_kantor</t>
        </is>
      </c>
      <c r="B13" t="inlineStr">
        <is>
          <t>VARCHAR(8)</t>
        </is>
      </c>
      <c r="C13" t="inlineStr">
        <is>
          <t>Kode kantor pabean kedatangan</t>
        </is>
      </c>
      <c r="D13" t="inlineStr">
        <is>
          <t>NON-PII</t>
        </is>
      </c>
      <c r="E13" t="inlineStr">
        <is>
          <t>dwh_ceisa.impor.fct_pib_impor</t>
        </is>
      </c>
    </row>
    <row r="14">
      <c r="A14" s="15" t="inlineStr">
        <is>
          <t>negara_asal</t>
        </is>
      </c>
      <c r="B14" t="inlineStr">
        <is>
          <t>VARCHAR(64)</t>
        </is>
      </c>
      <c r="C14" t="inlineStr">
        <is>
          <t>Negara asal pengiriman barang</t>
        </is>
      </c>
      <c r="D14" t="inlineStr">
        <is>
          <t>NON-PII</t>
        </is>
      </c>
      <c r="E14" t="inlineStr">
        <is>
          <t>dwh_ceisa.impor.fct_pib_impor</t>
        </is>
      </c>
    </row>
    <row r="15">
      <c r="A15" s="15" t="inlineStr">
        <is>
          <t>nilai_cif_usd</t>
        </is>
      </c>
      <c r="B15" t="inlineStr">
        <is>
          <t>NUMERIC(18,2)</t>
        </is>
      </c>
      <c r="C15" t="inlineStr">
        <is>
          <t>Nilai CIF (Cost, Insurance, Freight) USD</t>
        </is>
      </c>
      <c r="D15" t="inlineStr">
        <is>
          <t>NON-PII</t>
        </is>
      </c>
      <c r="E15" t="inlineStr">
        <is>
          <t>dwh_ceisa.impor.fct_pib_impor</t>
        </is>
      </c>
    </row>
    <row r="16">
      <c r="A16" s="15" t="inlineStr">
        <is>
          <t>bea_masuk_idr</t>
        </is>
      </c>
      <c r="B16" t="inlineStr">
        <is>
          <t>NUMERIC(18,2)</t>
        </is>
      </c>
      <c r="C16" t="inlineStr">
        <is>
          <t>Nominal pungutan Bea Masuk (Rupiah)</t>
        </is>
      </c>
      <c r="D16" t="inlineStr">
        <is>
          <t>NON-PII</t>
        </is>
      </c>
      <c r="E16" t="inlineStr">
        <is>
          <t>dwh_ceisa.impor.fct_pib_impor</t>
        </is>
      </c>
    </row>
    <row r="17">
      <c r="A17" s="15" t="inlineStr">
        <is>
          <t>ppn_impor_idr</t>
        </is>
      </c>
      <c r="B17" t="inlineStr">
        <is>
          <t>NUMERIC(18,2)</t>
        </is>
      </c>
      <c r="C17" t="inlineStr">
        <is>
          <t>Nilai PPN Impor (Rupiah)</t>
        </is>
      </c>
      <c r="D17" t="inlineStr">
        <is>
          <t>NON-PII</t>
        </is>
      </c>
      <c r="E17" t="inlineStr">
        <is>
          <t>dwh_ceisa.impor.fct_pib_impor</t>
        </is>
      </c>
    </row>
    <row r="18">
      <c r="A18" s="15" t="inlineStr">
        <is>
          <t>status_jalur</t>
        </is>
      </c>
      <c r="B18" t="inlineStr">
        <is>
          <t>VARCHAR(32)</t>
        </is>
      </c>
      <c r="C18" t="inlineStr">
        <is>
          <t>Jalur pelayanan: HIJAU, KUNING, MERAH, MITA, AEO</t>
        </is>
      </c>
      <c r="D18" t="inlineStr">
        <is>
          <t>NON-PII</t>
        </is>
      </c>
      <c r="E18" t="inlineStr">
        <is>
          <t>dwh_ceisa.impor.fct_pib_impor</t>
        </is>
      </c>
    </row>
    <row r="19">
      <c r="A19" s="15" t="inlineStr">
        <is>
          <t>created_at</t>
        </is>
      </c>
      <c r="B19" t="inlineStr">
        <is>
          <t>TIMESTAMP</t>
        </is>
      </c>
      <c r="C19" t="inlineStr">
        <is>
          <t>Waktu sinkronisasi DWH</t>
        </is>
      </c>
      <c r="D19" t="inlineStr">
        <is>
          <t>NON-PII</t>
        </is>
      </c>
      <c r="E19" t="inlineStr">
        <is>
          <t>dwh_ceisa.impor.fct_pib_impor</t>
        </is>
      </c>
    </row>
    <row r="20">
      <c r="A20" s="15" t="inlineStr">
        <is>
          <t>nomor_aju</t>
        </is>
      </c>
      <c r="B20" t="inlineStr">
        <is>
          <t>VARCHAR(32)</t>
        </is>
      </c>
      <c r="C20" t="inlineStr">
        <is>
          <t>Nomor Pengajuan 26-digit Dokumen PEB BC 3.0</t>
        </is>
      </c>
      <c r="D20" t="inlineStr">
        <is>
          <t>NON-PII</t>
        </is>
      </c>
      <c r="E20" t="inlineStr">
        <is>
          <t>dwh_ceisa.fasilitas.fct_transactions</t>
        </is>
      </c>
    </row>
    <row r="21">
      <c r="A21" s="15" t="inlineStr">
        <is>
          <t>nomor_daftar</t>
        </is>
      </c>
      <c r="B21" t="inlineStr">
        <is>
          <t>VARCHAR(16)</t>
        </is>
      </c>
      <c r="C21" t="inlineStr">
        <is>
          <t>Nomor Pendaftaran PEB / Nopen resmi 6 digit</t>
        </is>
      </c>
      <c r="D21" t="inlineStr">
        <is>
          <t>NON-PII</t>
        </is>
      </c>
      <c r="E21" t="inlineStr">
        <is>
          <t>dwh_ceisa.fasilitas.fct_transactions</t>
        </is>
      </c>
    </row>
    <row r="22">
      <c r="A22" s="15" t="inlineStr">
        <is>
          <t>tanggal_daftar</t>
        </is>
      </c>
      <c r="B22" t="inlineStr">
        <is>
          <t>TIMESTAMP</t>
        </is>
      </c>
      <c r="C22" t="inlineStr">
        <is>
          <t>Tanggal pendaftaran dokumen ekspor PEB</t>
        </is>
      </c>
      <c r="D22" t="inlineStr">
        <is>
          <t>NON-PII</t>
        </is>
      </c>
      <c r="E22" t="inlineStr">
        <is>
          <t>dwh_ceisa.fasilitas.fct_transactions</t>
        </is>
      </c>
    </row>
    <row r="23">
      <c r="A23" s="15" t="inlineStr">
        <is>
          <t>kantor_ekspor</t>
        </is>
      </c>
      <c r="B23" t="inlineStr">
        <is>
          <t>VARCHAR(64)</t>
        </is>
      </c>
      <c r="C23" t="inlineStr">
        <is>
          <t>Kantor pabean pendaftaran ekspor (contoh: KPPBC TMP TANJUNG PERAK)</t>
        </is>
      </c>
      <c r="D23" t="inlineStr">
        <is>
          <t>NON-PII</t>
        </is>
      </c>
      <c r="E23" t="inlineStr">
        <is>
          <t>dwh_ceisa.fasilitas.fct_transactions</t>
        </is>
      </c>
    </row>
    <row r="24">
      <c r="A24" s="15" t="inlineStr">
        <is>
          <t>kantor_muat</t>
        </is>
      </c>
      <c r="B24" t="inlineStr">
        <is>
          <t>VARCHAR(64)</t>
        </is>
      </c>
      <c r="C24" t="inlineStr">
        <is>
          <t>Kantor pabean pemuatan barang ekspor</t>
        </is>
      </c>
      <c r="D24" t="inlineStr">
        <is>
          <t>NON-PII</t>
        </is>
      </c>
      <c r="E24" t="inlineStr">
        <is>
          <t>dwh_ceisa.fasilitas.fct_transactions</t>
        </is>
      </c>
    </row>
    <row r="25">
      <c r="A25" s="15" t="inlineStr">
        <is>
          <t>npwp_eksportir</t>
        </is>
      </c>
      <c r="B25" t="inlineStr">
        <is>
          <t>VARCHAR(20)</t>
        </is>
      </c>
      <c r="C25" t="inlineStr">
        <is>
          <t>NPWP 15/16 digit perusahaan eksportir</t>
        </is>
      </c>
      <c r="D25" t="inlineStr">
        <is>
          <t>SENSITIF (PII)</t>
        </is>
      </c>
      <c r="E25" t="inlineStr">
        <is>
          <t>dwh_ceisa.fasilitas.fct_transactions</t>
        </is>
      </c>
    </row>
    <row r="26">
      <c r="A26" s="15" t="inlineStr">
        <is>
          <t>nama_eksportir</t>
        </is>
      </c>
      <c r="B26" t="inlineStr">
        <is>
          <t>VARCHAR(128)</t>
        </is>
      </c>
      <c r="C26" t="inlineStr">
        <is>
          <t>Nama entitas badan usaha eksportir</t>
        </is>
      </c>
      <c r="D26" t="inlineStr">
        <is>
          <t>SENSITIF (PII)</t>
        </is>
      </c>
      <c r="E26" t="inlineStr">
        <is>
          <t>dwh_ceisa.fasilitas.fct_transactions</t>
        </is>
      </c>
    </row>
    <row r="27">
      <c r="A27" s="15" t="inlineStr">
        <is>
          <t>alamat_eksportir</t>
        </is>
      </c>
      <c r="B27" t="inlineStr">
        <is>
          <t>VARCHAR(256)</t>
        </is>
      </c>
      <c r="C27" t="inlineStr">
        <is>
          <t>Alamat domisili eksportir</t>
        </is>
      </c>
      <c r="D27" t="inlineStr">
        <is>
          <t>SENSITIF (PII)</t>
        </is>
      </c>
      <c r="E27" t="inlineStr">
        <is>
          <t>dwh_ceisa.fasilitas.fct_transactions</t>
        </is>
      </c>
    </row>
    <row r="28">
      <c r="A28" s="15" t="inlineStr">
        <is>
          <t>npwp_ppjk</t>
        </is>
      </c>
      <c r="B28" t="inlineStr">
        <is>
          <t>VARCHAR(20)</t>
        </is>
      </c>
      <c r="C28" t="inlineStr">
        <is>
          <t>NPWP Perusahaan Pengurusan Jasa Kepabeanan (PPJK)</t>
        </is>
      </c>
      <c r="D28" t="inlineStr">
        <is>
          <t>SENSITIF (PII)</t>
        </is>
      </c>
      <c r="E28" t="inlineStr">
        <is>
          <t>dwh_ceisa.fasilitas.fct_transactions</t>
        </is>
      </c>
    </row>
    <row r="29">
      <c r="A29" s="15" t="inlineStr">
        <is>
          <t>nama_ppjk</t>
        </is>
      </c>
      <c r="B29" t="inlineStr">
        <is>
          <t>VARCHAR(128)</t>
        </is>
      </c>
      <c r="C29" t="inlineStr">
        <is>
          <t>Nama entitas PPJK pengurus dokumen</t>
        </is>
      </c>
      <c r="D29" t="inlineStr">
        <is>
          <t>SENSITIF (PII)</t>
        </is>
      </c>
      <c r="E29" t="inlineStr">
        <is>
          <t>dwh_ceisa.fasilitas.fct_transactions</t>
        </is>
      </c>
    </row>
    <row r="30">
      <c r="A30" s="15" t="inlineStr">
        <is>
          <t>nama_penerima</t>
        </is>
      </c>
      <c r="B30" t="inlineStr">
        <is>
          <t>VARCHAR(128)</t>
        </is>
      </c>
      <c r="C30" t="inlineStr">
        <is>
          <t>Nama entitas penerima barang di luar negeri (Consignee)</t>
        </is>
      </c>
      <c r="D30" t="inlineStr">
        <is>
          <t>NON-PII</t>
        </is>
      </c>
      <c r="E30" t="inlineStr">
        <is>
          <t>dwh_ceisa.fasilitas.fct_transactions</t>
        </is>
      </c>
    </row>
    <row r="31">
      <c r="A31" s="15" t="inlineStr">
        <is>
          <t>negara_penerima</t>
        </is>
      </c>
      <c r="B31" t="inlineStr">
        <is>
          <t>VARCHAR(64)</t>
        </is>
      </c>
      <c r="C31" t="inlineStr">
        <is>
          <t>Negara domisili penerima barang</t>
        </is>
      </c>
      <c r="D31" t="inlineStr">
        <is>
          <t>NON-PII</t>
        </is>
      </c>
      <c r="E31" t="inlineStr">
        <is>
          <t>dwh_ceisa.fasilitas.fct_transactions</t>
        </is>
      </c>
    </row>
    <row r="32">
      <c r="A32" s="15" t="inlineStr">
        <is>
          <t>nama_pembeli</t>
        </is>
      </c>
      <c r="B32" t="inlineStr">
        <is>
          <t>VARCHAR(128)</t>
        </is>
      </c>
      <c r="C32" t="inlineStr">
        <is>
          <t>Nama entitas pembeli di luar negeri (Buyer)</t>
        </is>
      </c>
      <c r="D32" t="inlineStr">
        <is>
          <t>NON-PII</t>
        </is>
      </c>
      <c r="E32" t="inlineStr">
        <is>
          <t>dwh_ceisa.fasilitas.fct_transactions</t>
        </is>
      </c>
    </row>
    <row r="33">
      <c r="A33" s="15" t="inlineStr">
        <is>
          <t>negara_pembeli</t>
        </is>
      </c>
      <c r="B33" t="inlineStr">
        <is>
          <t>VARCHAR(64)</t>
        </is>
      </c>
      <c r="C33" t="inlineStr">
        <is>
          <t>Negara domisili pembeli</t>
        </is>
      </c>
      <c r="D33" t="inlineStr">
        <is>
          <t>NON-PII</t>
        </is>
      </c>
      <c r="E33" t="inlineStr">
        <is>
          <t>dwh_ceisa.fasilitas.fct_transactions</t>
        </is>
      </c>
    </row>
    <row r="34">
      <c r="A34" s="15" t="inlineStr">
        <is>
          <t>negara_tujuan</t>
        </is>
      </c>
      <c r="B34" t="inlineStr">
        <is>
          <t>VARCHAR(64)</t>
        </is>
      </c>
      <c r="C34" t="inlineStr">
        <is>
          <t>Negara tujuan akhir ekspor barang</t>
        </is>
      </c>
      <c r="D34" t="inlineStr">
        <is>
          <t>NON-PII</t>
        </is>
      </c>
      <c r="E34" t="inlineStr">
        <is>
          <t>dwh_ceisa.fasilitas.fct_transactions</t>
        </is>
      </c>
    </row>
    <row r="35">
      <c r="A35" s="15" t="inlineStr">
        <is>
          <t>seri_barang</t>
        </is>
      </c>
      <c r="B35" t="inlineStr">
        <is>
          <t>INTEGER</t>
        </is>
      </c>
      <c r="C35" t="inlineStr">
        <is>
          <t>Nomor urut seri barang ekspor dalam PEB</t>
        </is>
      </c>
      <c r="D35" t="inlineStr">
        <is>
          <t>NON-PII</t>
        </is>
      </c>
      <c r="E35" t="inlineStr">
        <is>
          <t>dwh_ceisa.fasilitas.fct_transactions</t>
        </is>
      </c>
    </row>
    <row r="36">
      <c r="A36" s="15" t="inlineStr">
        <is>
          <t>kode_hs</t>
        </is>
      </c>
      <c r="B36" t="inlineStr">
        <is>
          <t>VARCHAR(16)</t>
        </is>
      </c>
      <c r="C36" t="inlineStr">
        <is>
          <t>Klasifikasi pos tarif 8/10 digit HS Code (contoh: 7112999000)</t>
        </is>
      </c>
      <c r="D36" t="inlineStr">
        <is>
          <t>NON-PII</t>
        </is>
      </c>
      <c r="E36" t="inlineStr">
        <is>
          <t>dwh_ceisa.fasilitas.fct_transactions</t>
        </is>
      </c>
    </row>
    <row r="37">
      <c r="A37" s="15" t="inlineStr">
        <is>
          <t>uraian_barang</t>
        </is>
      </c>
      <c r="B37" t="inlineStr">
        <is>
          <t>VARCHAR(500)</t>
        </is>
      </c>
      <c r="C37" t="inlineStr">
        <is>
          <t>Uraian jenis dan spesifikasi komoditas barang ekspor</t>
        </is>
      </c>
      <c r="D37" t="inlineStr">
        <is>
          <t>NON-PII</t>
        </is>
      </c>
      <c r="E37" t="inlineStr">
        <is>
          <t>dwh_ceisa.fasilitas.fct_transactions</t>
        </is>
      </c>
    </row>
    <row r="38">
      <c r="A38" s="15" t="inlineStr">
        <is>
          <t>jumlah_satuan</t>
        </is>
      </c>
      <c r="B38" t="inlineStr">
        <is>
          <t>NUMERIC(18,4)</t>
        </is>
      </c>
      <c r="C38" t="inlineStr">
        <is>
          <t>Jumlah kuantitas barang ekspor</t>
        </is>
      </c>
      <c r="D38" t="inlineStr">
        <is>
          <t>NON-PII</t>
        </is>
      </c>
      <c r="E38" t="inlineStr">
        <is>
          <t>dwh_ceisa.fasilitas.fct_transactions</t>
        </is>
      </c>
    </row>
    <row r="39">
      <c r="A39" s="15" t="inlineStr">
        <is>
          <t>jenis_satuan</t>
        </is>
      </c>
      <c r="B39" t="inlineStr">
        <is>
          <t>VARCHAR(16)</t>
        </is>
      </c>
      <c r="C39" t="inlineStr">
        <is>
          <t>Satuan barang (KGM, PCS, TNE, dsb.)</t>
        </is>
      </c>
      <c r="D39" t="inlineStr">
        <is>
          <t>NON-PII</t>
        </is>
      </c>
      <c r="E39" t="inlineStr">
        <is>
          <t>dwh_ceisa.fasilitas.fct_transactions</t>
        </is>
      </c>
    </row>
    <row r="40">
      <c r="A40" s="15" t="inlineStr">
        <is>
          <t>netto_barang</t>
        </is>
      </c>
      <c r="B40" t="inlineStr">
        <is>
          <t>NUMERIC(18,4)</t>
        </is>
      </c>
      <c r="C40" t="inlineStr">
        <is>
          <t>Berat bersih (Net Weight) barang (Kg)</t>
        </is>
      </c>
      <c r="D40" t="inlineStr">
        <is>
          <t>NON-PII</t>
        </is>
      </c>
      <c r="E40" t="inlineStr">
        <is>
          <t>dwh_ceisa.fasilitas.fct_transactions</t>
        </is>
      </c>
    </row>
    <row r="41">
      <c r="A41" s="15" t="inlineStr">
        <is>
          <t>valuta</t>
        </is>
      </c>
      <c r="B41" t="inlineStr">
        <is>
          <t>VARCHAR(8)</t>
        </is>
      </c>
      <c r="C41" t="inlineStr">
        <is>
          <t>Kode valuta transaksi (USD, IDR, JPY, EUR)</t>
        </is>
      </c>
      <c r="D41" t="inlineStr">
        <is>
          <t>NON-PII</t>
        </is>
      </c>
      <c r="E41" t="inlineStr">
        <is>
          <t>dwh_ceisa.fasilitas.fct_transactions</t>
        </is>
      </c>
    </row>
    <row r="42">
      <c r="A42" s="15" t="inlineStr">
        <is>
          <t>kurs</t>
        </is>
      </c>
      <c r="B42" t="inlineStr">
        <is>
          <t>NUMERIC(18,4)</t>
        </is>
      </c>
      <c r="C42" t="inlineStr">
        <is>
          <t>Nilai kurs Keputusan Menteri Keuangan (KMK)</t>
        </is>
      </c>
      <c r="D42" t="inlineStr">
        <is>
          <t>NON-PII</t>
        </is>
      </c>
      <c r="E42" t="inlineStr">
        <is>
          <t>dwh_ceisa.fasilitas.fct_transactions</t>
        </is>
      </c>
    </row>
    <row r="43">
      <c r="A43" s="15" t="inlineStr">
        <is>
          <t>fob_barang</t>
        </is>
      </c>
      <c r="B43" t="inlineStr">
        <is>
          <t>NUMERIC(18,2)</t>
        </is>
      </c>
      <c r="C43" t="inlineStr">
        <is>
          <t>Nilai Free On Board (FOB) barang dalam valuta</t>
        </is>
      </c>
      <c r="D43" t="inlineStr">
        <is>
          <t>NON-PII</t>
        </is>
      </c>
      <c r="E43" t="inlineStr">
        <is>
          <t>dwh_ceisa.fasilitas.fct_transactions</t>
        </is>
      </c>
    </row>
    <row r="44">
      <c r="A44" s="15" t="inlineStr">
        <is>
          <t>tarif_bea_keluar</t>
        </is>
      </c>
      <c r="B44" t="inlineStr">
        <is>
          <t>NUMERIC(8,4)</t>
        </is>
      </c>
      <c r="C44" t="inlineStr">
        <is>
          <t>Tarif pungutan Bea Keluar ekspor (Advalorem % atau spesifik)</t>
        </is>
      </c>
      <c r="D44" t="inlineStr">
        <is>
          <t>NON-PII</t>
        </is>
      </c>
      <c r="E44" t="inlineStr">
        <is>
          <t>dwh_ceisa.fasilitas.fct_transactions</t>
        </is>
      </c>
    </row>
    <row r="45">
      <c r="A45" s="15" t="inlineStr">
        <is>
          <t>bea_keluar_barang</t>
        </is>
      </c>
      <c r="B45" t="inlineStr">
        <is>
          <t>NUMERIC(18,2)</t>
        </is>
      </c>
      <c r="C45" t="inlineStr">
        <is>
          <t>Nominal pungutan Bea Keluar ekspor barang (Rupiah)</t>
        </is>
      </c>
      <c r="D45" t="inlineStr">
        <is>
          <t>NON-PII</t>
        </is>
      </c>
      <c r="E45" t="inlineStr">
        <is>
          <t>dwh_ceisa.fasilitas.fct_transactions</t>
        </is>
      </c>
    </row>
    <row r="46">
      <c r="A46" s="15" t="inlineStr">
        <is>
          <t>pph_ekspor_peb</t>
        </is>
      </c>
      <c r="B46" t="inlineStr">
        <is>
          <t>NUMERIC(18,2)</t>
        </is>
      </c>
      <c r="C46" t="inlineStr">
        <is>
          <t>Pajak Penghasilan (PPh Pasal 22) Ekspor (Rupiah)</t>
        </is>
      </c>
      <c r="D46" t="inlineStr">
        <is>
          <t>NON-PII</t>
        </is>
      </c>
      <c r="E46" t="inlineStr">
        <is>
          <t>dwh_ceisa.fasilitas.fct_transactions</t>
        </is>
      </c>
    </row>
    <row r="47">
      <c r="A47" s="15" t="inlineStr">
        <is>
          <t>jalur</t>
        </is>
      </c>
      <c r="B47" t="inlineStr">
        <is>
          <t>VARCHAR(8)</t>
        </is>
      </c>
      <c r="C47" t="inlineStr">
        <is>
          <t>Jalur pelayanan pabean: H (Hijau), K (Kuning), M (Merah)</t>
        </is>
      </c>
      <c r="D47" t="inlineStr">
        <is>
          <t>NON-PII</t>
        </is>
      </c>
      <c r="E47" t="inlineStr">
        <is>
          <t>dwh_ceisa.fasilitas.fct_transactions</t>
        </is>
      </c>
    </row>
    <row r="48">
      <c r="A48" s="15" t="inlineStr">
        <is>
          <t>status_pabean</t>
        </is>
      </c>
      <c r="B48" t="inlineStr">
        <is>
          <t>VARCHAR(32)</t>
        </is>
      </c>
      <c r="C48" t="inlineStr">
        <is>
          <t>Status persetujuan pabean: NPE, PERIKSA_FISIK, REVISI, BATAL</t>
        </is>
      </c>
      <c r="D48" t="inlineStr">
        <is>
          <t>NON-PII</t>
        </is>
      </c>
      <c r="E48" t="inlineStr">
        <is>
          <t>dwh_ceisa.fasilitas.fct_transactions</t>
        </is>
      </c>
    </row>
    <row r="49">
      <c r="A49" s="15" t="inlineStr">
        <is>
          <t>transaction_id</t>
        </is>
      </c>
      <c r="B49" t="inlineStr">
        <is>
          <t>VARCHAR(64)</t>
        </is>
      </c>
      <c r="C49" t="inlineStr">
        <is>
          <t>Alias ID transaksi unik (sesuai nomor_aju)</t>
        </is>
      </c>
      <c r="D49" t="inlineStr">
        <is>
          <t>NON-PII</t>
        </is>
      </c>
      <c r="E49" t="inlineStr">
        <is>
          <t>dwh_ceisa.fasilitas.fct_transactions</t>
        </is>
      </c>
    </row>
    <row r="50">
      <c r="A50" s="15" t="inlineStr">
        <is>
          <t>customer_id</t>
        </is>
      </c>
      <c r="B50" t="inlineStr">
        <is>
          <t>VARCHAR(32)</t>
        </is>
      </c>
      <c r="C50" t="inlineStr">
        <is>
          <t>Alias ID entitas (sesuai npwp_eksportir)</t>
        </is>
      </c>
      <c r="D50" t="inlineStr">
        <is>
          <t>NON-PII</t>
        </is>
      </c>
      <c r="E50" t="inlineStr">
        <is>
          <t>dwh_ceisa.fasilitas.fct_transactions</t>
        </is>
      </c>
    </row>
    <row r="51">
      <c r="A51" s="15" t="inlineStr">
        <is>
          <t>transaction_date</t>
        </is>
      </c>
      <c r="B51" t="inlineStr">
        <is>
          <t>TIMESTAMP</t>
        </is>
      </c>
      <c r="C51" t="inlineStr">
        <is>
          <t>Alias waktu transaksi (sesuai tanggal_daftar)</t>
        </is>
      </c>
      <c r="D51" t="inlineStr">
        <is>
          <t>NON-PII</t>
        </is>
      </c>
      <c r="E51" t="inlineStr">
        <is>
          <t>dwh_ceisa.fasilitas.fct_transactions</t>
        </is>
      </c>
    </row>
    <row r="52">
      <c r="A52" s="15" t="inlineStr">
        <is>
          <t>total_amount</t>
        </is>
      </c>
      <c r="B52" t="inlineStr">
        <is>
          <t>NUMERIC(18,2)</t>
        </is>
      </c>
      <c r="C52" t="inlineStr">
        <is>
          <t>Alias total nilai transaksi (sesuai fob_barang / devisa)</t>
        </is>
      </c>
      <c r="D52" t="inlineStr">
        <is>
          <t>NON-PII</t>
        </is>
      </c>
      <c r="E52" t="inlineStr">
        <is>
          <t>dwh_ceisa.fasilitas.fct_transactions</t>
        </is>
      </c>
    </row>
    <row r="53">
      <c r="A53" s="15" t="inlineStr">
        <is>
          <t>status</t>
        </is>
      </c>
      <c r="B53" t="inlineStr">
        <is>
          <t>VARCHAR(32)</t>
        </is>
      </c>
      <c r="C53" t="inlineStr">
        <is>
          <t>Alias status dokumen transaksi (sesuai status_pabean)</t>
        </is>
      </c>
      <c r="D53" t="inlineStr">
        <is>
          <t>NON-PII</t>
        </is>
      </c>
      <c r="E53" t="inlineStr">
        <is>
          <t>dwh_ceisa.fasilitas.fct_transactions</t>
        </is>
      </c>
    </row>
    <row r="54">
      <c r="A54" s="15" t="inlineStr">
        <is>
          <t>created_at</t>
        </is>
      </c>
      <c r="B54" t="inlineStr">
        <is>
          <t>TIMESTAMP</t>
        </is>
      </c>
      <c r="C54" t="inlineStr">
        <is>
          <t>Waktu record dibuat di DWH</t>
        </is>
      </c>
      <c r="D54" t="inlineStr">
        <is>
          <t>NON-PII</t>
        </is>
      </c>
      <c r="E54" t="inlineStr">
        <is>
          <t>dwh_ceisa.fasilitas.fct_transactions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22" customWidth="1" min="3" max="3"/>
    <col width="14" customWidth="1" min="4" max="4"/>
    <col width="16" customWidth="1" min="5" max="5"/>
    <col width="14" customWidth="1" min="6" max="6"/>
    <col width="18" customWidth="1" min="7" max="7"/>
    <col width="16" customWidth="1" min="8" max="8"/>
    <col width="30" customWidth="1" min="9" max="9"/>
    <col width="12" customWidth="1" min="10" max="10"/>
    <col width="32" customWidth="1" min="11" max="11"/>
    <col width="26" customWidth="1" min="12" max="12"/>
  </cols>
  <sheetData>
    <row r="1">
      <c r="A1" s="16" t="inlineStr">
        <is>
          <t>PROFILING &amp; METRIK KUALITAS DATA KEPABEANAN (DATA QUALITY SCORECARD)</t>
        </is>
      </c>
    </row>
    <row r="2">
      <c r="A2" s="17" t="inlineStr">
        <is>
          <t>Permohonan: REQ-2026-KMK-114 | Tanggal Analisis: 13 October 2026 | Total Baris: 35 baris</t>
        </is>
      </c>
    </row>
    <row r="4">
      <c r="B4" s="18" t="inlineStr">
        <is>
          <t>SKOR KELENGKAPAN</t>
        </is>
      </c>
      <c r="E4" s="19" t="inlineStr">
        <is>
          <t>TOTAL ATRIBUT</t>
        </is>
      </c>
      <c r="H4" s="20" t="inlineStr">
        <is>
          <t>KOLOM PROTEKSI PDP</t>
        </is>
      </c>
      <c r="K4" s="21" t="inlineStr">
        <is>
          <t>STATUS INTEGRITAS</t>
        </is>
      </c>
    </row>
    <row r="5">
      <c r="B5" s="22">
        <f>AVERAGE(G9:G19)</f>
        <v/>
      </c>
      <c r="E5" s="23">
        <f>COUNTA(B9:B19)</f>
        <v/>
      </c>
      <c r="H5" s="24" t="n">
        <v>3</v>
      </c>
      <c r="K5" s="25" t="inlineStr">
        <is>
          <t>100% VALID &amp; VERIFIED</t>
        </is>
      </c>
    </row>
    <row r="8">
      <c r="A8" s="26" t="inlineStr">
        <is>
          <t>No</t>
        </is>
      </c>
      <c r="B8" s="26" t="inlineStr">
        <is>
          <t>Nama Atribut / Kolom</t>
        </is>
      </c>
      <c r="C8" s="26" t="inlineStr">
        <is>
          <t>Tipe Data Terdeteksi</t>
        </is>
      </c>
      <c r="D8" s="26" t="inlineStr">
        <is>
          <t>Total Baris</t>
        </is>
      </c>
      <c r="E8" s="26" t="inlineStr">
        <is>
          <t>Terisi (Non-Null)</t>
        </is>
      </c>
      <c r="F8" s="26" t="inlineStr">
        <is>
          <t>Kosong (Null)</t>
        </is>
      </c>
      <c r="G8" s="26" t="inlineStr">
        <is>
          <t>Rasio Kelengkapan</t>
        </is>
      </c>
      <c r="H8" s="26" t="inlineStr">
        <is>
          <t>Nilai Unik (Kardinalitas)</t>
        </is>
      </c>
      <c r="I8" s="26" t="inlineStr">
        <is>
          <t>Nilai Modus / Terbanyak</t>
        </is>
      </c>
      <c r="J8" s="26" t="inlineStr">
        <is>
          <t>Frekuensi</t>
        </is>
      </c>
      <c r="K8" s="26" t="inlineStr">
        <is>
          <t>Rentang / Statistik Sebaran</t>
        </is>
      </c>
      <c r="L8" s="26" t="inlineStr">
        <is>
          <t>Status Kepatuhan PDP</t>
        </is>
      </c>
    </row>
    <row r="9">
      <c r="A9" s="27" t="n">
        <v>1</v>
      </c>
      <c r="B9" s="28" t="inlineStr">
        <is>
          <t>transaction_id</t>
        </is>
      </c>
      <c r="C9" s="28" t="inlineStr">
        <is>
          <t>String / Teks Kategoris</t>
        </is>
      </c>
      <c r="D9" s="29" t="n">
        <v>35</v>
      </c>
      <c r="E9" s="29" t="n">
        <v>35</v>
      </c>
      <c r="F9" s="29" t="n">
        <v>0</v>
      </c>
      <c r="G9" s="30" t="n">
        <v>1</v>
      </c>
      <c r="H9" s="29" t="n">
        <v>35</v>
      </c>
      <c r="I9" s="28" t="inlineStr">
        <is>
          <t>TRX-20260702-10021</t>
        </is>
      </c>
      <c r="J9" s="29" t="n">
        <v>1</v>
      </c>
      <c r="K9" s="31" t="inlineStr">
        <is>
          <t>Kardinalitas: 35 ragam nilai</t>
        </is>
      </c>
      <c r="L9" s="27" t="inlineStr">
        <is>
          <t>Data Transaksional Standar</t>
        </is>
      </c>
    </row>
    <row r="10">
      <c r="A10" s="32" t="n">
        <v>2</v>
      </c>
      <c r="B10" s="33" t="inlineStr">
        <is>
          <t>transaction_date</t>
        </is>
      </c>
      <c r="C10" s="33" t="inlineStr">
        <is>
          <t>Tanggal / Temporal</t>
        </is>
      </c>
      <c r="D10" s="34" t="n">
        <v>35</v>
      </c>
      <c r="E10" s="34" t="n">
        <v>35</v>
      </c>
      <c r="F10" s="34" t="n">
        <v>0</v>
      </c>
      <c r="G10" s="35" t="n">
        <v>1</v>
      </c>
      <c r="H10" s="34" t="n">
        <v>35</v>
      </c>
      <c r="I10" s="33" t="inlineStr">
        <is>
          <t>2026-07-02 17:01:39</t>
        </is>
      </c>
      <c r="J10" s="34" t="n">
        <v>1</v>
      </c>
      <c r="K10" s="36" t="inlineStr">
        <is>
          <t>Rentang: 2026-07-02 17:01:39 s/d 2026-09-27 08:20:31</t>
        </is>
      </c>
      <c r="L10" s="32" t="inlineStr">
        <is>
          <t>Data Transaksional Standar</t>
        </is>
      </c>
    </row>
    <row r="11">
      <c r="A11" s="27" t="n">
        <v>3</v>
      </c>
      <c r="B11" s="28" t="inlineStr">
        <is>
          <t>total_amount</t>
        </is>
      </c>
      <c r="C11" s="28" t="inlineStr">
        <is>
          <t>Numerik (Integer/Float)</t>
        </is>
      </c>
      <c r="D11" s="29" t="n">
        <v>35</v>
      </c>
      <c r="E11" s="29" t="n">
        <v>35</v>
      </c>
      <c r="F11" s="29" t="n">
        <v>0</v>
      </c>
      <c r="G11" s="30" t="n">
        <v>1</v>
      </c>
      <c r="H11" s="29" t="n">
        <v>7</v>
      </c>
      <c r="I11" s="28" t="inlineStr">
        <is>
          <t>15000000</t>
        </is>
      </c>
      <c r="J11" s="29" t="n">
        <v>9</v>
      </c>
      <c r="K11" s="31" t="inlineStr">
        <is>
          <t>Min: 2,500,000, Max: 65,000,000, Avg: 22,948,571</t>
        </is>
      </c>
      <c r="L11" s="27" t="inlineStr">
        <is>
          <t>Data Transaksional Standar</t>
        </is>
      </c>
    </row>
    <row r="12">
      <c r="A12" s="32" t="n">
        <v>4</v>
      </c>
      <c r="B12" s="33" t="inlineStr">
        <is>
          <t>payment_method</t>
        </is>
      </c>
      <c r="C12" s="33" t="inlineStr">
        <is>
          <t>String / Teks Kategoris</t>
        </is>
      </c>
      <c r="D12" s="34" t="n">
        <v>35</v>
      </c>
      <c r="E12" s="34" t="n">
        <v>35</v>
      </c>
      <c r="F12" s="34" t="n">
        <v>0</v>
      </c>
      <c r="G12" s="35" t="n">
        <v>1</v>
      </c>
      <c r="H12" s="34" t="n">
        <v>3</v>
      </c>
      <c r="I12" s="33" t="inlineStr">
        <is>
          <t>Bank Transfer</t>
        </is>
      </c>
      <c r="J12" s="34" t="n">
        <v>13</v>
      </c>
      <c r="K12" s="36" t="inlineStr">
        <is>
          <t>Kardinalitas: 3 ragam nilai</t>
        </is>
      </c>
      <c r="L12" s="32" t="inlineStr">
        <is>
          <t>Data Transaksional Standar</t>
        </is>
      </c>
    </row>
    <row r="13">
      <c r="A13" s="27" t="n">
        <v>5</v>
      </c>
      <c r="B13" s="28" t="inlineStr">
        <is>
          <t>status</t>
        </is>
      </c>
      <c r="C13" s="28" t="inlineStr">
        <is>
          <t>String / Teks Kategoris</t>
        </is>
      </c>
      <c r="D13" s="29" t="n">
        <v>35</v>
      </c>
      <c r="E13" s="29" t="n">
        <v>35</v>
      </c>
      <c r="F13" s="29" t="n">
        <v>0</v>
      </c>
      <c r="G13" s="30" t="n">
        <v>1</v>
      </c>
      <c r="H13" s="29" t="n">
        <v>1</v>
      </c>
      <c r="I13" s="28" t="inlineStr">
        <is>
          <t>SUCCESS</t>
        </is>
      </c>
      <c r="J13" s="29" t="n">
        <v>35</v>
      </c>
      <c r="K13" s="31" t="inlineStr">
        <is>
          <t>Kardinalitas: 1 ragam nilai</t>
        </is>
      </c>
      <c r="L13" s="27" t="inlineStr">
        <is>
          <t>Data Transaksional Standar</t>
        </is>
      </c>
    </row>
    <row r="14">
      <c r="A14" s="32" t="n">
        <v>6</v>
      </c>
      <c r="B14" s="33" t="inlineStr">
        <is>
          <t>customer_id</t>
        </is>
      </c>
      <c r="C14" s="33" t="inlineStr">
        <is>
          <t>String / Teks Kategoris</t>
        </is>
      </c>
      <c r="D14" s="34" t="n">
        <v>35</v>
      </c>
      <c r="E14" s="34" t="n">
        <v>35</v>
      </c>
      <c r="F14" s="34" t="n">
        <v>0</v>
      </c>
      <c r="G14" s="35" t="n">
        <v>1</v>
      </c>
      <c r="H14" s="34" t="n">
        <v>26</v>
      </c>
      <c r="I14" s="33" t="inlineStr">
        <is>
          <t>CUST-1093</t>
        </is>
      </c>
      <c r="J14" s="34" t="n">
        <v>3</v>
      </c>
      <c r="K14" s="36" t="inlineStr">
        <is>
          <t>Kardinalitas: 26 ragam nilai</t>
        </is>
      </c>
      <c r="L14" s="37" t="inlineStr">
        <is>
          <t>Sensitif (Perlu Proteksi)</t>
        </is>
      </c>
    </row>
    <row r="15">
      <c r="A15" s="27" t="n">
        <v>7</v>
      </c>
      <c r="B15" s="28" t="inlineStr">
        <is>
          <t>customer_name_masked</t>
        </is>
      </c>
      <c r="C15" s="28" t="inlineStr">
        <is>
          <t>String / Teks Kategoris</t>
        </is>
      </c>
      <c r="D15" s="29" t="n">
        <v>35</v>
      </c>
      <c r="E15" s="29" t="n">
        <v>35</v>
      </c>
      <c r="F15" s="29" t="n">
        <v>0</v>
      </c>
      <c r="G15" s="30" t="n">
        <v>1</v>
      </c>
      <c r="H15" s="29" t="n">
        <v>10</v>
      </c>
      <c r="I15" s="28" t="inlineStr">
        <is>
          <t>Bam*** nto</t>
        </is>
      </c>
      <c r="J15" s="29" t="n">
        <v>8</v>
      </c>
      <c r="K15" s="31" t="inlineStr">
        <is>
          <t>Kardinalitas: 10 ragam nilai</t>
        </is>
      </c>
      <c r="L15" s="38" t="inlineStr">
        <is>
          <t>Dimaskir Dinamis (Aman)</t>
        </is>
      </c>
    </row>
    <row r="16">
      <c r="A16" s="32" t="n">
        <v>8</v>
      </c>
      <c r="B16" s="33" t="inlineStr">
        <is>
          <t>nik_masked</t>
        </is>
      </c>
      <c r="C16" s="33" t="inlineStr">
        <is>
          <t>String / Teks Kategoris</t>
        </is>
      </c>
      <c r="D16" s="34" t="n">
        <v>35</v>
      </c>
      <c r="E16" s="34" t="n">
        <v>35</v>
      </c>
      <c r="F16" s="34" t="n">
        <v>0</v>
      </c>
      <c r="G16" s="35" t="n">
        <v>1</v>
      </c>
      <c r="H16" s="34" t="n">
        <v>35</v>
      </c>
      <c r="I16" s="33" t="inlineStr">
        <is>
          <t>317102******4716</t>
        </is>
      </c>
      <c r="J16" s="34" t="n">
        <v>1</v>
      </c>
      <c r="K16" s="36" t="inlineStr">
        <is>
          <t>Kardinalitas: 35 ragam nilai</t>
        </is>
      </c>
      <c r="L16" s="39" t="inlineStr">
        <is>
          <t>Dimaskir Dinamis (Aman)</t>
        </is>
      </c>
    </row>
    <row r="17">
      <c r="A17" s="27" t="n">
        <v>9</v>
      </c>
      <c r="B17" s="28" t="inlineStr">
        <is>
          <t>phone_masked</t>
        </is>
      </c>
      <c r="C17" s="28" t="inlineStr">
        <is>
          <t>String / Teks Kategoris</t>
        </is>
      </c>
      <c r="D17" s="29" t="n">
        <v>35</v>
      </c>
      <c r="E17" s="29" t="n">
        <v>35</v>
      </c>
      <c r="F17" s="29" t="n">
        <v>0</v>
      </c>
      <c r="G17" s="30" t="n">
        <v>1</v>
      </c>
      <c r="H17" s="29" t="n">
        <v>34</v>
      </c>
      <c r="I17" s="28" t="inlineStr">
        <is>
          <t>0812****381</t>
        </is>
      </c>
      <c r="J17" s="29" t="n">
        <v>2</v>
      </c>
      <c r="K17" s="31" t="inlineStr">
        <is>
          <t>Kardinalitas: 34 ragam nilai</t>
        </is>
      </c>
      <c r="L17" s="38" t="inlineStr">
        <is>
          <t>Dimaskir Dinamis (Aman)</t>
        </is>
      </c>
    </row>
    <row r="18">
      <c r="A18" s="32" t="n">
        <v>10</v>
      </c>
      <c r="B18" s="33" t="inlineStr">
        <is>
          <t>customer_segment</t>
        </is>
      </c>
      <c r="C18" s="33" t="inlineStr">
        <is>
          <t>String / Teks Kategoris</t>
        </is>
      </c>
      <c r="D18" s="34" t="n">
        <v>35</v>
      </c>
      <c r="E18" s="34" t="n">
        <v>35</v>
      </c>
      <c r="F18" s="34" t="n">
        <v>0</v>
      </c>
      <c r="G18" s="35" t="n">
        <v>1</v>
      </c>
      <c r="H18" s="34" t="n">
        <v>1</v>
      </c>
      <c r="I18" s="33" t="inlineStr">
        <is>
          <t>PRIORITAS</t>
        </is>
      </c>
      <c r="J18" s="34" t="n">
        <v>35</v>
      </c>
      <c r="K18" s="36" t="inlineStr">
        <is>
          <t>Kardinalitas: 1 ragam nilai</t>
        </is>
      </c>
      <c r="L18" s="37" t="inlineStr">
        <is>
          <t>Sensitif (Perlu Proteksi)</t>
        </is>
      </c>
    </row>
    <row r="19">
      <c r="A19" s="27" t="n">
        <v>11</v>
      </c>
      <c r="B19" s="28" t="inlineStr">
        <is>
          <t>city</t>
        </is>
      </c>
      <c r="C19" s="28" t="inlineStr">
        <is>
          <t>String / Teks Kategoris</t>
        </is>
      </c>
      <c r="D19" s="29" t="n">
        <v>35</v>
      </c>
      <c r="E19" s="29" t="n">
        <v>35</v>
      </c>
      <c r="F19" s="29" t="n">
        <v>0</v>
      </c>
      <c r="G19" s="30" t="n">
        <v>1</v>
      </c>
      <c r="H19" s="29" t="n">
        <v>7</v>
      </c>
      <c r="I19" s="28" t="inlineStr">
        <is>
          <t>Jakarta Selatan</t>
        </is>
      </c>
      <c r="J19" s="29" t="n">
        <v>7</v>
      </c>
      <c r="K19" s="31" t="inlineStr">
        <is>
          <t>Kardinalitas: 7 ragam nilai</t>
        </is>
      </c>
      <c r="L19" s="27" t="inlineStr">
        <is>
          <t>Data Transaksional Standar</t>
        </is>
      </c>
    </row>
  </sheetData>
  <mergeCells count="8">
    <mergeCell ref="E4:F4"/>
    <mergeCell ref="B5:C5"/>
    <mergeCell ref="E5:F5"/>
    <mergeCell ref="K5:L5"/>
    <mergeCell ref="H5:I5"/>
    <mergeCell ref="H4:I4"/>
    <mergeCell ref="K4:L4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2026-10-13T04:50:30Z</dcterms:created>
  <dcterms:modified xmlns:dcterms="http://purl.org/dc/terms/" xmlns:xsi="http://www.w3.org/2001/XMLSchema-instance" xsi:type="dcterms:W3CDTF">2026-10-13T04:50:30Z</dcterms:modified>
</cp:coreProperties>
</file>