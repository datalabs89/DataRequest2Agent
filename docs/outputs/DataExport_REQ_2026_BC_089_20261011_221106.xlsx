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HASIL" sheetId="1" state="visible" r:id="rId1"/>
    <sheet xmlns:r="http://schemas.openxmlformats.org/officeDocument/2006/relationships" name="AUDIT_PROVENANCE" sheetId="2" state="visible" r:id="rId2"/>
    <sheet xmlns:r="http://schemas.openxmlformats.org/officeDocument/2006/relationships" name="KAMUS_DATA" sheetId="3" state="visible" r:id="rId3"/>
    <sheet xmlns:r="http://schemas.openxmlformats.org/officeDocument/2006/relationships" name="PROFILING_KUALITAS_DATA" sheetId="4" state="visible" r:id="rId4"/>
  </sheets>
  <definedNames>
    <definedName name="_xlnm._FilterDatabase" localSheetId="0" hidden="1">'DATA_HASIL'!$A$1:$AE$36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Rp #,##0"/>
    <numFmt numFmtId="166" formatCode="#,##0 &quot;transaksi&quot;"/>
    <numFmt numFmtId="167" formatCode="0.0%"/>
    <numFmt numFmtId="168" formatCode="#,##0 &quot;Kolom&quot;"/>
    <numFmt numFmtId="169" formatCode="#,##0 &quot;Atribut&quot;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3A8A"/>
      <sz val="10"/>
    </font>
    <font>
      <name val="Calibri"/>
      <b val="1"/>
      <color rgb="001E3A8A"/>
      <sz val="14"/>
    </font>
    <font>
      <name val="Calibri"/>
      <b val="1"/>
      <sz val="10"/>
    </font>
    <font>
      <name val="Calibri"/>
      <b val="1"/>
      <color rgb="001E3A8A"/>
      <sz val="11"/>
    </font>
    <font>
      <name val="Consolas"/>
      <sz val="9"/>
    </font>
    <font>
      <b val="1"/>
    </font>
    <font>
      <name val="Calibri"/>
      <b val="1"/>
      <color rgb="001E3A8A"/>
      <sz val="13"/>
    </font>
    <font>
      <name val="Calibri"/>
      <i val="1"/>
      <color rgb="00475569"/>
      <sz val="10"/>
    </font>
    <font>
      <name val="Calibri"/>
      <b val="1"/>
      <color rgb="00065F46"/>
      <sz val="9"/>
    </font>
    <font>
      <name val="Calibri"/>
      <b val="1"/>
      <color rgb="00065F46"/>
      <sz val="12"/>
    </font>
    <font>
      <name val="Calibri"/>
      <b val="1"/>
      <color rgb="001E40AF"/>
      <sz val="9"/>
    </font>
    <font>
      <name val="Calibri"/>
      <b val="1"/>
      <color rgb="001E40AF"/>
      <sz val="12"/>
    </font>
    <font>
      <name val="Calibri"/>
      <b val="1"/>
      <color rgb="0092400E"/>
      <sz val="9"/>
    </font>
    <font>
      <name val="Calibri"/>
      <b val="1"/>
      <color rgb="0092400E"/>
      <sz val="12"/>
    </font>
    <font>
      <name val="Calibri"/>
      <b val="1"/>
      <color rgb="00334155"/>
      <sz val="9"/>
    </font>
    <font>
      <name val="Calibri"/>
      <b val="1"/>
      <color rgb="00334155"/>
      <sz val="12"/>
    </font>
    <font>
      <name val="Calibri"/>
      <sz val="9"/>
    </font>
    <font>
      <name val="Calibri"/>
      <b val="1"/>
      <color rgb="0015803D"/>
      <sz val="9"/>
    </font>
    <font>
      <name val="Calibri"/>
      <color rgb="00334155"/>
      <sz val="8.5"/>
    </font>
    <font>
      <name val="Calibri"/>
      <b val="1"/>
      <color rgb="002563EB"/>
      <sz val="9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3" fillId="3" borderId="2" applyAlignment="1" pivotButton="0" quotePrefix="0" xfId="0">
      <alignment horizontal="center" vertical="center"/>
    </xf>
    <xf numFmtId="166" fontId="3" fillId="3" borderId="2" applyAlignment="1" pivotButton="0" quotePrefix="0" xfId="0">
      <alignment horizontal="center"/>
    </xf>
    <xf numFmtId="0" fontId="3" fillId="3" borderId="2" pivotButton="0" quotePrefix="0" xfId="0"/>
    <xf numFmtId="3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10" fontId="3" fillId="3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4" fillId="0" borderId="0" pivotButton="0" quotePrefix="0" xfId="0"/>
    <xf numFmtId="0" fontId="5" fillId="4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7" fontId="12" fillId="5" borderId="0" applyAlignment="1" pivotButton="0" quotePrefix="0" xfId="0">
      <alignment horizontal="center" vertical="center"/>
    </xf>
    <xf numFmtId="168" fontId="14" fillId="3" borderId="0" applyAlignment="1" pivotButton="0" quotePrefix="0" xfId="0">
      <alignment horizontal="center" vertical="center"/>
    </xf>
    <xf numFmtId="169" fontId="16" fillId="6" borderId="0" applyAlignment="1" pivotButton="0" quotePrefix="0" xfId="0">
      <alignment horizontal="center" vertical="center"/>
    </xf>
    <xf numFmtId="49" fontId="18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/>
    </xf>
    <xf numFmtId="0" fontId="19" fillId="7" borderId="1" pivotButton="0" quotePrefix="0" xfId="0"/>
    <xf numFmtId="3" fontId="19" fillId="7" borderId="1" applyAlignment="1" pivotButton="0" quotePrefix="0" xfId="0">
      <alignment horizontal="center"/>
    </xf>
    <xf numFmtId="167" fontId="20" fillId="7" borderId="1" applyAlignment="1" pivotButton="0" quotePrefix="0" xfId="0">
      <alignment horizontal="center"/>
    </xf>
    <xf numFmtId="0" fontId="21" fillId="7" borderId="1" applyAlignment="1" pivotButton="0" quotePrefix="0" xfId="0">
      <alignment horizontal="left"/>
    </xf>
    <xf numFmtId="0" fontId="19" fillId="8" borderId="1" applyAlignment="1" pivotButton="0" quotePrefix="0" xfId="0">
      <alignment horizontal="center"/>
    </xf>
    <xf numFmtId="0" fontId="19" fillId="8" borderId="1" pivotButton="0" quotePrefix="0" xfId="0"/>
    <xf numFmtId="3" fontId="19" fillId="8" borderId="1" applyAlignment="1" pivotButton="0" quotePrefix="0" xfId="0">
      <alignment horizontal="center"/>
    </xf>
    <xf numFmtId="167" fontId="20" fillId="8" borderId="1" applyAlignment="1" pivotButton="0" quotePrefix="0" xfId="0">
      <alignment horizontal="center"/>
    </xf>
    <xf numFmtId="0" fontId="21" fillId="8" borderId="1" applyAlignment="1" pivotButton="0" quotePrefix="0" xfId="0">
      <alignment horizontal="left"/>
    </xf>
    <xf numFmtId="0" fontId="22" fillId="8" borderId="1" applyAlignment="1" pivotButton="0" quotePrefix="0" xfId="0">
      <alignment horizontal="center"/>
    </xf>
    <xf numFmtId="0" fontId="2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28" customWidth="1" min="4" max="4"/>
    <col width="27" customWidth="1" min="5" max="5"/>
    <col width="26" customWidth="1" min="6" max="6"/>
    <col width="25" customWidth="1" min="7" max="7"/>
    <col width="24" customWidth="1" min="8" max="8"/>
    <col width="34" customWidth="1" min="9" max="9"/>
    <col width="41" customWidth="1" min="10" max="10"/>
    <col width="19" customWidth="1" min="11" max="11"/>
    <col width="30" customWidth="1" min="12" max="12"/>
    <col width="19" customWidth="1" min="13" max="13"/>
    <col width="19" customWidth="1" min="14" max="14"/>
    <col width="26" customWidth="1" min="15" max="15"/>
    <col width="14" customWidth="1" min="16" max="16"/>
    <col width="41" customWidth="1" min="17" max="17"/>
    <col width="26" customWidth="1" min="18" max="18"/>
    <col width="16" customWidth="1" min="19" max="19"/>
    <col width="26" customWidth="1" min="20" max="20"/>
    <col width="14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14" customWidth="1" min="27" max="27"/>
    <col width="16" customWidth="1" min="28" max="28"/>
    <col width="17" customWidth="1" min="29" max="29"/>
    <col width="18" customWidth="1" min="30" max="30"/>
    <col width="44" customWidth="1" min="31" max="31"/>
  </cols>
  <sheetData>
    <row r="1">
      <c r="A1" s="1" t="inlineStr">
        <is>
          <t>nomor_aju</t>
        </is>
      </c>
      <c r="B1" s="1" t="inlineStr">
        <is>
          <t>nomor_daftar</t>
        </is>
      </c>
      <c r="C1" s="1" t="inlineStr">
        <is>
          <t>tanggal_daftar</t>
        </is>
      </c>
      <c r="D1" s="1" t="inlineStr">
        <is>
          <t>kantor_ekspor</t>
        </is>
      </c>
      <c r="E1" s="1" t="inlineStr">
        <is>
          <t>kantor_muat</t>
        </is>
      </c>
      <c r="F1" s="1" t="inlineStr">
        <is>
          <t>nama_eksportir_masked</t>
        </is>
      </c>
      <c r="G1" s="1" t="inlineStr">
        <is>
          <t>npwp_eksportir_masked</t>
        </is>
      </c>
      <c r="H1" s="1" t="inlineStr">
        <is>
          <t>npwp_ppjk_masked</t>
        </is>
      </c>
      <c r="I1" s="1" t="inlineStr">
        <is>
          <t>nama_ppjk_masked</t>
        </is>
      </c>
      <c r="J1" s="1" t="inlineStr">
        <is>
          <t>nama_penerima</t>
        </is>
      </c>
      <c r="K1" s="1" t="inlineStr">
        <is>
          <t>negara_penerima</t>
        </is>
      </c>
      <c r="L1" s="1" t="inlineStr">
        <is>
          <t>nama_pembeli</t>
        </is>
      </c>
      <c r="M1" s="1" t="inlineStr">
        <is>
          <t>negara_pembeli</t>
        </is>
      </c>
      <c r="N1" s="1" t="inlineStr">
        <is>
          <t>negara_tujuan</t>
        </is>
      </c>
      <c r="O1" s="1" t="inlineStr">
        <is>
          <t>seri_barang</t>
        </is>
      </c>
      <c r="P1" s="1" t="inlineStr">
        <is>
          <t>kode_hs</t>
        </is>
      </c>
      <c r="Q1" s="1" t="inlineStr">
        <is>
          <t>uraian_barang</t>
        </is>
      </c>
      <c r="R1" s="1" t="inlineStr">
        <is>
          <t>jumlah_satuan</t>
        </is>
      </c>
      <c r="S1" s="1" t="inlineStr">
        <is>
          <t>jenis_satuan</t>
        </is>
      </c>
      <c r="T1" s="1" t="inlineStr">
        <is>
          <t>netto_barang</t>
        </is>
      </c>
      <c r="U1" s="1" t="inlineStr">
        <is>
          <t>valuta</t>
        </is>
      </c>
      <c r="V1" s="1" t="inlineStr">
        <is>
          <t>kurs</t>
        </is>
      </c>
      <c r="W1" s="1" t="inlineStr">
        <is>
          <t>fob_barang</t>
        </is>
      </c>
      <c r="X1" s="1" t="inlineStr">
        <is>
          <t>tarif_bea_keluar</t>
        </is>
      </c>
      <c r="Y1" s="1" t="inlineStr">
        <is>
          <t>bea_keluar_barang</t>
        </is>
      </c>
      <c r="Z1" s="1" t="inlineStr">
        <is>
          <t>pph_ekspor_peb</t>
        </is>
      </c>
      <c r="AA1" s="1" t="inlineStr">
        <is>
          <t>jalur</t>
        </is>
      </c>
      <c r="AB1" s="1" t="inlineStr">
        <is>
          <t>status_jalur</t>
        </is>
      </c>
      <c r="AC1" s="1" t="inlineStr">
        <is>
          <t>status_pabean</t>
        </is>
      </c>
      <c r="AD1" s="1" t="inlineStr">
        <is>
          <t>status_dokumen</t>
        </is>
      </c>
      <c r="AE1" s="1" t="inlineStr">
        <is>
          <t>dokumen_pelengkap</t>
        </is>
      </c>
    </row>
    <row r="2">
      <c r="A2" s="2" t="inlineStr">
        <is>
          <t>07000000022220260704100001</t>
        </is>
      </c>
      <c r="B2" s="2" t="inlineStr">
        <is>
          <t>001921</t>
        </is>
      </c>
      <c r="C2" s="3" t="inlineStr">
        <is>
          <t>2026-07-04</t>
        </is>
      </c>
      <c r="D2" s="2" t="inlineStr">
        <is>
          <t>KPPBC TMP TANJUNG PRIOK</t>
        </is>
      </c>
      <c r="E2" s="2" t="inlineStr">
        <is>
          <t>KPPBC TMP TANJUNG PERAK</t>
        </is>
      </c>
      <c r="F2" s="2" t="inlineStr">
        <is>
          <t>PT UNI*** INDONESIA</t>
        </is>
      </c>
      <c r="G2" s="2" t="inlineStr">
        <is>
          <t>01.264.***.*-936.000</t>
        </is>
      </c>
      <c r="H2" s="2" t="inlineStr">
        <is>
          <t>01.813.***.*-707.000</t>
        </is>
      </c>
      <c r="I2" s="2" t="inlineStr">
        <is>
          <t>PT CIP*** SEGARA INTERNASIONAL</t>
        </is>
      </c>
      <c r="J2" s="2" t="inlineStr">
        <is>
          <t>MITSUBISHI CORPORATION RTM JAPAN LTD.</t>
        </is>
      </c>
      <c r="K2" s="2" t="inlineStr">
        <is>
          <t>Tiongkok</t>
        </is>
      </c>
      <c r="L2" s="2" t="inlineStr">
        <is>
          <t>MITSUBISHI CORP BUYER INC.</t>
        </is>
      </c>
      <c r="M2" s="2" t="inlineStr">
        <is>
          <t>Tiongkok</t>
        </is>
      </c>
      <c r="N2" s="2" t="inlineStr">
        <is>
          <t>Tiongkok</t>
        </is>
      </c>
      <c r="O2" s="2" t="n">
        <v>1</v>
      </c>
      <c r="P2" s="2" t="inlineStr">
        <is>
          <t>7112999000</t>
        </is>
      </c>
      <c r="Q2" s="2" t="inlineStr">
        <is>
          <t>ELECTRONIC SCRAP CONTAINING GOLD</t>
        </is>
      </c>
      <c r="R2" s="2" t="n">
        <v>15400</v>
      </c>
      <c r="S2" s="2" t="inlineStr">
        <is>
          <t>KGM</t>
        </is>
      </c>
      <c r="T2" s="2" t="n">
        <v>15400</v>
      </c>
      <c r="U2" s="2" t="inlineStr">
        <is>
          <t>USD</t>
        </is>
      </c>
      <c r="V2" s="2" t="n">
        <v>15500</v>
      </c>
      <c r="W2" s="4" t="n">
        <v>75000</v>
      </c>
      <c r="X2" s="5" t="n">
        <v>0.075</v>
      </c>
      <c r="Y2" s="5" t="n">
        <v>0</v>
      </c>
      <c r="Z2" s="5" t="n">
        <v>0</v>
      </c>
      <c r="AA2" s="2" t="inlineStr">
        <is>
          <t>H</t>
        </is>
      </c>
      <c r="AB2" s="2" t="inlineStr">
        <is>
          <t>HIJAU</t>
        </is>
      </c>
      <c r="AC2" s="2" t="inlineStr">
        <is>
          <t>NPE</t>
        </is>
      </c>
      <c r="AD2" s="2" t="inlineStr">
        <is>
          <t>SELESAI (NPE)</t>
        </is>
      </c>
      <c r="AE2" s="2" t="inlineStr">
        <is>
          <t>INVOICE: SLMMMC2026-01 (Tgl: 2026-07-04)</t>
        </is>
      </c>
    </row>
    <row r="3">
      <c r="A3" s="2" t="inlineStr">
        <is>
          <t>07000000022220260918100002</t>
        </is>
      </c>
      <c r="B3" s="2" t="inlineStr">
        <is>
          <t>003209</t>
        </is>
      </c>
      <c r="C3" s="3" t="inlineStr">
        <is>
          <t>2026-09-18</t>
        </is>
      </c>
      <c r="D3" s="2" t="inlineStr">
        <is>
          <t>KPPBC TMP BELAWAN</t>
        </is>
      </c>
      <c r="E3" s="2" t="inlineStr">
        <is>
          <t>KPPBC TMP BELAWAN</t>
        </is>
      </c>
      <c r="F3" s="2" t="inlineStr">
        <is>
          <t>PT IND*** CBP MAKMUR</t>
        </is>
      </c>
      <c r="G3" s="2" t="inlineStr">
        <is>
          <t>08.370.***.*-508.000</t>
        </is>
      </c>
      <c r="H3" s="2" t="inlineStr">
        <is>
          <t>01.813.***.*-575.000</t>
        </is>
      </c>
      <c r="I3" s="2" t="inlineStr">
        <is>
          <t>PT CIP*** SEGARA INTERNASIONAL</t>
        </is>
      </c>
      <c r="J3" s="2" t="inlineStr">
        <is>
          <t>MITSUBISHI CORPORATION RTM JAPAN LTD.</t>
        </is>
      </c>
      <c r="K3" s="2" t="inlineStr">
        <is>
          <t>Belanda</t>
        </is>
      </c>
      <c r="L3" s="2" t="inlineStr">
        <is>
          <t>MITSUBISHI CORP BUYER INC.</t>
        </is>
      </c>
      <c r="M3" s="2" t="inlineStr">
        <is>
          <t>Belanda</t>
        </is>
      </c>
      <c r="N3" s="2" t="inlineStr">
        <is>
          <t>Belanda</t>
        </is>
      </c>
      <c r="O3" s="2" t="n">
        <v>1</v>
      </c>
      <c r="P3" s="2" t="inlineStr">
        <is>
          <t>7112920000</t>
        </is>
      </c>
      <c r="Q3" s="2" t="inlineStr">
        <is>
          <t>ANODE SLIME (HASIL PEMURNIAN TEMBAGA)</t>
        </is>
      </c>
      <c r="R3" s="2" t="n">
        <v>10650</v>
      </c>
      <c r="S3" s="2" t="inlineStr">
        <is>
          <t>KGM</t>
        </is>
      </c>
      <c r="T3" s="2" t="n">
        <v>10650</v>
      </c>
      <c r="U3" s="2" t="inlineStr">
        <is>
          <t>USD</t>
        </is>
      </c>
      <c r="V3" s="2" t="n">
        <v>15500</v>
      </c>
      <c r="W3" s="4" t="n">
        <v>520000</v>
      </c>
      <c r="X3" s="5" t="n">
        <v>0.075</v>
      </c>
      <c r="Y3" s="5" t="n">
        <v>604500000</v>
      </c>
      <c r="Z3" s="5" t="n">
        <v>120900000</v>
      </c>
      <c r="AA3" s="2" t="inlineStr">
        <is>
          <t>M</t>
        </is>
      </c>
      <c r="AB3" s="2" t="inlineStr">
        <is>
          <t>MERAH</t>
        </is>
      </c>
      <c r="AC3" s="2" t="inlineStr">
        <is>
          <t>NPE</t>
        </is>
      </c>
      <c r="AD3" s="2" t="inlineStr">
        <is>
          <t>SELESAI (NPE)</t>
        </is>
      </c>
      <c r="AE3" s="2" t="inlineStr">
        <is>
          <t>INVOICE: SLMMMC2026-01 (Tgl: 2026-09-18)</t>
        </is>
      </c>
    </row>
    <row r="4">
      <c r="A4" s="2" t="inlineStr">
        <is>
          <t>07000000022220260908100003</t>
        </is>
      </c>
      <c r="B4" s="2" t="inlineStr">
        <is>
          <t>009233</t>
        </is>
      </c>
      <c r="C4" s="3" t="inlineStr">
        <is>
          <t>2026-09-08</t>
        </is>
      </c>
      <c r="D4" s="2" t="inlineStr">
        <is>
          <t>KPPBC TMP TANJUNG PERAK</t>
        </is>
      </c>
      <c r="E4" s="2" t="inlineStr">
        <is>
          <t>KPPBC TMP TANJUNG PRIOK</t>
        </is>
      </c>
      <c r="F4" s="2" t="inlineStr">
        <is>
          <t>PT MAY*** INDAH TBK</t>
        </is>
      </c>
      <c r="G4" s="2" t="inlineStr">
        <is>
          <t>07.798.***.*-215.000</t>
        </is>
      </c>
      <c r="H4" s="2" t="inlineStr">
        <is>
          <t>01.813.***.*-475.000</t>
        </is>
      </c>
      <c r="I4" s="2" t="inlineStr">
        <is>
          <t>PT CIP*** SEGARA INTERNASIONAL</t>
        </is>
      </c>
      <c r="J4" s="2" t="inlineStr">
        <is>
          <t>MITSUBISHI CORPORATION RTM JAPAN LTD.</t>
        </is>
      </c>
      <c r="K4" s="2" t="inlineStr">
        <is>
          <t>India</t>
        </is>
      </c>
      <c r="L4" s="2" t="inlineStr">
        <is>
          <t>MITSUBISHI CORP BUYER INC.</t>
        </is>
      </c>
      <c r="M4" s="2" t="inlineStr">
        <is>
          <t>India</t>
        </is>
      </c>
      <c r="N4" s="2" t="inlineStr">
        <is>
          <t>India</t>
        </is>
      </c>
      <c r="O4" s="2" t="n">
        <v>1</v>
      </c>
      <c r="P4" s="2" t="inlineStr">
        <is>
          <t>7112999000</t>
        </is>
      </c>
      <c r="Q4" s="2" t="inlineStr">
        <is>
          <t>SILVER CHAIN SCRAPS</t>
        </is>
      </c>
      <c r="R4" s="2" t="n">
        <v>10650</v>
      </c>
      <c r="S4" s="2" t="inlineStr">
        <is>
          <t>KGM</t>
        </is>
      </c>
      <c r="T4" s="2" t="n">
        <v>10650</v>
      </c>
      <c r="U4" s="2" t="inlineStr">
        <is>
          <t>USD</t>
        </is>
      </c>
      <c r="V4" s="2" t="n">
        <v>15500</v>
      </c>
      <c r="W4" s="4" t="n">
        <v>310000</v>
      </c>
      <c r="X4" s="5" t="n">
        <v>0.1</v>
      </c>
      <c r="Y4" s="5" t="n">
        <v>480500000</v>
      </c>
      <c r="Z4" s="5" t="n">
        <v>72075000</v>
      </c>
      <c r="AA4" s="2" t="inlineStr">
        <is>
          <t>M</t>
        </is>
      </c>
      <c r="AB4" s="2" t="inlineStr">
        <is>
          <t>MERAH</t>
        </is>
      </c>
      <c r="AC4" s="2" t="inlineStr">
        <is>
          <t>NPE</t>
        </is>
      </c>
      <c r="AD4" s="2" t="inlineStr">
        <is>
          <t>SELESAI (NPE)</t>
        </is>
      </c>
      <c r="AE4" s="2" t="inlineStr">
        <is>
          <t>INVOICE: SLMMMC2026-01 (Tgl: 2026-09-08)</t>
        </is>
      </c>
    </row>
    <row r="5">
      <c r="A5" s="2" t="inlineStr">
        <is>
          <t>07000000022220260927100004</t>
        </is>
      </c>
      <c r="B5" s="2" t="inlineStr">
        <is>
          <t>007506</t>
        </is>
      </c>
      <c r="C5" s="3" t="inlineStr">
        <is>
          <t>2026-09-27</t>
        </is>
      </c>
      <c r="D5" s="2" t="inlineStr">
        <is>
          <t>KPPBC TMP TANJUNG PRIOK</t>
        </is>
      </c>
      <c r="E5" s="2" t="inlineStr">
        <is>
          <t>KPPBC TMP TANJUNG PERAK</t>
        </is>
      </c>
      <c r="F5" s="2" t="inlineStr">
        <is>
          <t>PT MAY*** INDAH TBK</t>
        </is>
      </c>
      <c r="G5" s="2" t="inlineStr">
        <is>
          <t>05.789.***.*-382.000</t>
        </is>
      </c>
      <c r="H5" s="2" t="inlineStr">
        <is>
          <t>01.813.***.*-192.000</t>
        </is>
      </c>
      <c r="I5" s="2" t="inlineStr">
        <is>
          <t>PT CIP*** SEGARA INTERNASIONAL</t>
        </is>
      </c>
      <c r="J5" s="2" t="inlineStr">
        <is>
          <t>MITSUBISHI CORPORATION RTM JAPAN LTD.</t>
        </is>
      </c>
      <c r="K5" s="2" t="inlineStr">
        <is>
          <t>Australia</t>
        </is>
      </c>
      <c r="L5" s="2" t="inlineStr">
        <is>
          <t>MITSUBISHI CORP BUYER INC.</t>
        </is>
      </c>
      <c r="M5" s="2" t="inlineStr">
        <is>
          <t>Australia</t>
        </is>
      </c>
      <c r="N5" s="2" t="inlineStr">
        <is>
          <t>Australia</t>
        </is>
      </c>
      <c r="O5" s="2" t="n">
        <v>1</v>
      </c>
      <c r="P5" s="2" t="inlineStr">
        <is>
          <t>7112300000</t>
        </is>
      </c>
      <c r="Q5" s="2" t="inlineStr">
        <is>
          <t>ANODE SLIME (HASIL PEMURNIAN TEMBAGA)</t>
        </is>
      </c>
      <c r="R5" s="2" t="n">
        <v>31500</v>
      </c>
      <c r="S5" s="2" t="inlineStr">
        <is>
          <t>KGM</t>
        </is>
      </c>
      <c r="T5" s="2" t="n">
        <v>31500</v>
      </c>
      <c r="U5" s="2" t="inlineStr">
        <is>
          <t>USD</t>
        </is>
      </c>
      <c r="V5" s="2" t="n">
        <v>15500</v>
      </c>
      <c r="W5" s="4" t="n">
        <v>48000</v>
      </c>
      <c r="X5" s="5" t="n">
        <v>0.05</v>
      </c>
      <c r="Y5" s="5" t="n">
        <v>37200000</v>
      </c>
      <c r="Z5" s="5" t="n">
        <v>11160000</v>
      </c>
      <c r="AA5" s="2" t="inlineStr">
        <is>
          <t>H</t>
        </is>
      </c>
      <c r="AB5" s="2" t="inlineStr">
        <is>
          <t>HIJAU</t>
        </is>
      </c>
      <c r="AC5" s="2" t="inlineStr">
        <is>
          <t>NPE</t>
        </is>
      </c>
      <c r="AD5" s="2" t="inlineStr">
        <is>
          <t>SELESAI (NPE)</t>
        </is>
      </c>
      <c r="AE5" s="2" t="inlineStr">
        <is>
          <t>INVOICE: SLMMMC2026-01 (Tgl: 2026-09-27)</t>
        </is>
      </c>
    </row>
    <row r="6">
      <c r="A6" s="2" t="inlineStr">
        <is>
          <t>07000000022220260905100005</t>
        </is>
      </c>
      <c r="B6" s="2" t="inlineStr">
        <is>
          <t>006909</t>
        </is>
      </c>
      <c r="C6" s="3" t="inlineStr">
        <is>
          <t>2026-09-05</t>
        </is>
      </c>
      <c r="D6" s="2" t="inlineStr">
        <is>
          <t>KPPBC TMP BELAWAN</t>
        </is>
      </c>
      <c r="E6" s="2" t="inlineStr">
        <is>
          <t>KPPBC TMP BELAWAN</t>
        </is>
      </c>
      <c r="F6" s="2" t="inlineStr">
        <is>
          <t>PT IND*** CBP MAKMUR</t>
        </is>
      </c>
      <c r="G6" s="2" t="inlineStr">
        <is>
          <t>03.306.***.*-179.000</t>
        </is>
      </c>
      <c r="H6" s="2" t="inlineStr">
        <is>
          <t>01.813.***.*-868.000</t>
        </is>
      </c>
      <c r="I6" s="2" t="inlineStr">
        <is>
          <t>PT CIP*** SEGARA INTERNASIONAL</t>
        </is>
      </c>
      <c r="J6" s="2" t="inlineStr">
        <is>
          <t>MITSUBISHI CORPORATION RTM JAPAN LTD.</t>
        </is>
      </c>
      <c r="K6" s="2" t="inlineStr">
        <is>
          <t>Tiongkok</t>
        </is>
      </c>
      <c r="L6" s="2" t="inlineStr">
        <is>
          <t>MITSUBISHI CORP BUYER INC.</t>
        </is>
      </c>
      <c r="M6" s="2" t="inlineStr">
        <is>
          <t>Tiongkok</t>
        </is>
      </c>
      <c r="N6" s="2" t="inlineStr">
        <is>
          <t>Tiongkok</t>
        </is>
      </c>
      <c r="O6" s="2" t="n">
        <v>1</v>
      </c>
      <c r="P6" s="2" t="inlineStr">
        <is>
          <t>7112920000</t>
        </is>
      </c>
      <c r="Q6" s="2" t="inlineStr">
        <is>
          <t>SILVER CHAIN SCRAPS</t>
        </is>
      </c>
      <c r="R6" s="2" t="n">
        <v>22000</v>
      </c>
      <c r="S6" s="2" t="inlineStr">
        <is>
          <t>KGM</t>
        </is>
      </c>
      <c r="T6" s="2" t="n">
        <v>22000</v>
      </c>
      <c r="U6" s="2" t="inlineStr">
        <is>
          <t>USD</t>
        </is>
      </c>
      <c r="V6" s="2" t="n">
        <v>15500</v>
      </c>
      <c r="W6" s="4" t="n">
        <v>48000</v>
      </c>
      <c r="X6" s="5" t="n">
        <v>0.1</v>
      </c>
      <c r="Y6" s="5" t="n">
        <v>0</v>
      </c>
      <c r="Z6" s="5" t="n">
        <v>0</v>
      </c>
      <c r="AA6" s="2" t="inlineStr">
        <is>
          <t>M</t>
        </is>
      </c>
      <c r="AB6" s="2" t="inlineStr">
        <is>
          <t>MERAH</t>
        </is>
      </c>
      <c r="AC6" s="2" t="inlineStr">
        <is>
          <t>NPE</t>
        </is>
      </c>
      <c r="AD6" s="2" t="inlineStr">
        <is>
          <t>SELESAI (NPE)</t>
        </is>
      </c>
      <c r="AE6" s="2" t="inlineStr">
        <is>
          <t>INVOICE: SLMMMC2026-01 (Tgl: 2026-09-05)</t>
        </is>
      </c>
    </row>
    <row r="7">
      <c r="A7" s="2" t="inlineStr">
        <is>
          <t>07000000022220260729100006</t>
        </is>
      </c>
      <c r="B7" s="2" t="inlineStr">
        <is>
          <t>004821</t>
        </is>
      </c>
      <c r="C7" s="3" t="inlineStr">
        <is>
          <t>2026-07-29</t>
        </is>
      </c>
      <c r="D7" s="2" t="inlineStr">
        <is>
          <t>KPPBC TMP TANJUNG PERAK</t>
        </is>
      </c>
      <c r="E7" s="2" t="inlineStr">
        <is>
          <t>KPPBC TMP TANJUNG PRIOK</t>
        </is>
      </c>
      <c r="F7" s="2" t="inlineStr">
        <is>
          <t>PT IND*** CBP MAKMUR</t>
        </is>
      </c>
      <c r="G7" s="2" t="inlineStr">
        <is>
          <t>05.583.***.*-943.000</t>
        </is>
      </c>
      <c r="H7" s="2" t="inlineStr">
        <is>
          <t>01.813.***.*-154.000</t>
        </is>
      </c>
      <c r="I7" s="2" t="inlineStr">
        <is>
          <t>PT CIP*** SEGARA INTERNASIONAL</t>
        </is>
      </c>
      <c r="J7" s="2" t="inlineStr">
        <is>
          <t>MITSUBISHI CORPORATION RTM JAPAN LTD.</t>
        </is>
      </c>
      <c r="K7" s="2" t="inlineStr">
        <is>
          <t>Jepang</t>
        </is>
      </c>
      <c r="L7" s="2" t="inlineStr">
        <is>
          <t>MITSUBISHI CORP BUYER INC.</t>
        </is>
      </c>
      <c r="M7" s="2" t="inlineStr">
        <is>
          <t>Jepang</t>
        </is>
      </c>
      <c r="N7" s="2" t="inlineStr">
        <is>
          <t>Jepang</t>
        </is>
      </c>
      <c r="O7" s="2" t="n">
        <v>1</v>
      </c>
      <c r="P7" s="2" t="inlineStr">
        <is>
          <t>7112991000</t>
        </is>
      </c>
      <c r="Q7" s="2" t="inlineStr">
        <is>
          <t>WASTE AND SCRAP OF PRECIOUS METAL</t>
        </is>
      </c>
      <c r="R7" s="2" t="n">
        <v>5200</v>
      </c>
      <c r="S7" s="2" t="inlineStr">
        <is>
          <t>KGM</t>
        </is>
      </c>
      <c r="T7" s="2" t="n">
        <v>5200</v>
      </c>
      <c r="U7" s="2" t="inlineStr">
        <is>
          <t>USD</t>
        </is>
      </c>
      <c r="V7" s="2" t="n">
        <v>15500</v>
      </c>
      <c r="W7" s="4" t="n">
        <v>240000</v>
      </c>
      <c r="X7" s="5" t="n">
        <v>0.1</v>
      </c>
      <c r="Y7" s="5" t="n">
        <v>0</v>
      </c>
      <c r="Z7" s="5" t="n">
        <v>0</v>
      </c>
      <c r="AA7" s="2" t="inlineStr">
        <is>
          <t>H</t>
        </is>
      </c>
      <c r="AB7" s="2" t="inlineStr">
        <is>
          <t>HIJAU</t>
        </is>
      </c>
      <c r="AC7" s="2" t="inlineStr">
        <is>
          <t>NPE</t>
        </is>
      </c>
      <c r="AD7" s="2" t="inlineStr">
        <is>
          <t>SELESAI (NPE)</t>
        </is>
      </c>
      <c r="AE7" s="2" t="inlineStr">
        <is>
          <t>INVOICE: SLMMMC2026-01 (Tgl: 2026-07-29)</t>
        </is>
      </c>
    </row>
    <row r="8">
      <c r="A8" s="2" t="inlineStr">
        <is>
          <t>07000000022220260908100007</t>
        </is>
      </c>
      <c r="B8" s="2" t="inlineStr">
        <is>
          <t>004007</t>
        </is>
      </c>
      <c r="C8" s="3" t="inlineStr">
        <is>
          <t>2026-09-08</t>
        </is>
      </c>
      <c r="D8" s="2" t="inlineStr">
        <is>
          <t>KPPBC TMP BELAWAN</t>
        </is>
      </c>
      <c r="E8" s="2" t="inlineStr">
        <is>
          <t>KPPBC TMP TANJUNG PRIOK</t>
        </is>
      </c>
      <c r="F8" s="2" t="inlineStr">
        <is>
          <t>PT KRA*** STEEL</t>
        </is>
      </c>
      <c r="G8" s="2" t="inlineStr">
        <is>
          <t>04.874.***.*-383.000</t>
        </is>
      </c>
      <c r="H8" s="2" t="inlineStr">
        <is>
          <t>01.813.***.*-616.000</t>
        </is>
      </c>
      <c r="I8" s="2" t="inlineStr">
        <is>
          <t>PT CIP*** SEGARA INTERNASIONAL</t>
        </is>
      </c>
      <c r="J8" s="2" t="inlineStr">
        <is>
          <t>MITSUBISHI CORPORATION RTM JAPAN LTD.</t>
        </is>
      </c>
      <c r="K8" s="2" t="inlineStr">
        <is>
          <t>Amerika Serikat</t>
        </is>
      </c>
      <c r="L8" s="2" t="inlineStr">
        <is>
          <t>MITSUBISHI CORP BUYER INC.</t>
        </is>
      </c>
      <c r="M8" s="2" t="inlineStr">
        <is>
          <t>Amerika Serikat</t>
        </is>
      </c>
      <c r="N8" s="2" t="inlineStr">
        <is>
          <t>Amerika Serikat</t>
        </is>
      </c>
      <c r="O8" s="2" t="n">
        <v>1</v>
      </c>
      <c r="P8" s="2" t="inlineStr">
        <is>
          <t>7112920000</t>
        </is>
      </c>
      <c r="Q8" s="2" t="inlineStr">
        <is>
          <t>ANODE SLIME (HASIL PEMURNIAN TEMBAGA)</t>
        </is>
      </c>
      <c r="R8" s="2" t="n">
        <v>22000</v>
      </c>
      <c r="S8" s="2" t="inlineStr">
        <is>
          <t>KGM</t>
        </is>
      </c>
      <c r="T8" s="2" t="n">
        <v>22000</v>
      </c>
      <c r="U8" s="2" t="inlineStr">
        <is>
          <t>USD</t>
        </is>
      </c>
      <c r="V8" s="2" t="n">
        <v>15500</v>
      </c>
      <c r="W8" s="4" t="n">
        <v>120000</v>
      </c>
      <c r="X8" s="5" t="n">
        <v>0.1</v>
      </c>
      <c r="Y8" s="5" t="n">
        <v>186000000</v>
      </c>
      <c r="Z8" s="5" t="n">
        <v>27900000</v>
      </c>
      <c r="AA8" s="2" t="inlineStr">
        <is>
          <t>H</t>
        </is>
      </c>
      <c r="AB8" s="2" t="inlineStr">
        <is>
          <t>HIJAU</t>
        </is>
      </c>
      <c r="AC8" s="2" t="inlineStr">
        <is>
          <t>NPE</t>
        </is>
      </c>
      <c r="AD8" s="2" t="inlineStr">
        <is>
          <t>SELESAI (NPE)</t>
        </is>
      </c>
      <c r="AE8" s="2" t="inlineStr">
        <is>
          <t>INVOICE: SLMMMC2026-01 (Tgl: 2026-09-08)</t>
        </is>
      </c>
    </row>
    <row r="9">
      <c r="A9" s="2" t="inlineStr">
        <is>
          <t>07000000022220260809100008</t>
        </is>
      </c>
      <c r="B9" s="2" t="inlineStr">
        <is>
          <t>003365</t>
        </is>
      </c>
      <c r="C9" s="3" t="inlineStr">
        <is>
          <t>2026-08-09</t>
        </is>
      </c>
      <c r="D9" s="2" t="inlineStr">
        <is>
          <t>KPPBC TMP SOEKARNO HATTA</t>
        </is>
      </c>
      <c r="E9" s="2" t="inlineStr">
        <is>
          <t>KPPBC TMP BELAWAN</t>
        </is>
      </c>
      <c r="F9" s="2" t="inlineStr">
        <is>
          <t>PT KRA*** STEEL</t>
        </is>
      </c>
      <c r="G9" s="2" t="inlineStr">
        <is>
          <t>08.317.***.*-302.000</t>
        </is>
      </c>
      <c r="H9" s="2" t="inlineStr">
        <is>
          <t>01.813.***.*-262.000</t>
        </is>
      </c>
      <c r="I9" s="2" t="inlineStr">
        <is>
          <t>PT CIP*** SEGARA INTERNASIONAL</t>
        </is>
      </c>
      <c r="J9" s="2" t="inlineStr">
        <is>
          <t>MITSUBISHI CORPORATION RTM JAPAN LTD.</t>
        </is>
      </c>
      <c r="K9" s="2" t="inlineStr">
        <is>
          <t>India</t>
        </is>
      </c>
      <c r="L9" s="2" t="inlineStr">
        <is>
          <t>MITSUBISHI CORP BUYER INC.</t>
        </is>
      </c>
      <c r="M9" s="2" t="inlineStr">
        <is>
          <t>India</t>
        </is>
      </c>
      <c r="N9" s="2" t="inlineStr">
        <is>
          <t>India</t>
        </is>
      </c>
      <c r="O9" s="2" t="n">
        <v>1</v>
      </c>
      <c r="P9" s="2" t="inlineStr">
        <is>
          <t>7112991000</t>
        </is>
      </c>
      <c r="Q9" s="2" t="inlineStr">
        <is>
          <t>SILVER CHAIN SCRAPS</t>
        </is>
      </c>
      <c r="R9" s="2" t="n">
        <v>10650</v>
      </c>
      <c r="S9" s="2" t="inlineStr">
        <is>
          <t>KGM</t>
        </is>
      </c>
      <c r="T9" s="2" t="n">
        <v>10650</v>
      </c>
      <c r="U9" s="2" t="inlineStr">
        <is>
          <t>USD</t>
        </is>
      </c>
      <c r="V9" s="2" t="n">
        <v>15500</v>
      </c>
      <c r="W9" s="4" t="n">
        <v>185000</v>
      </c>
      <c r="X9" s="5" t="n">
        <v>0.1</v>
      </c>
      <c r="Y9" s="5" t="n">
        <v>0</v>
      </c>
      <c r="Z9" s="5" t="n">
        <v>0</v>
      </c>
      <c r="AA9" s="2" t="inlineStr">
        <is>
          <t>H</t>
        </is>
      </c>
      <c r="AB9" s="2" t="inlineStr">
        <is>
          <t>HIJAU</t>
        </is>
      </c>
      <c r="AC9" s="2" t="inlineStr">
        <is>
          <t>NPE</t>
        </is>
      </c>
      <c r="AD9" s="2" t="inlineStr">
        <is>
          <t>SELESAI (NPE)</t>
        </is>
      </c>
      <c r="AE9" s="2" t="inlineStr">
        <is>
          <t>INVOICE: SLMMMC2026-01 (Tgl: 2026-08-09)</t>
        </is>
      </c>
    </row>
    <row r="10">
      <c r="A10" s="2" t="inlineStr">
        <is>
          <t>07000000022220260825100009</t>
        </is>
      </c>
      <c r="B10" s="2" t="inlineStr">
        <is>
          <t>008553</t>
        </is>
      </c>
      <c r="C10" s="3" t="inlineStr">
        <is>
          <t>2026-08-25</t>
        </is>
      </c>
      <c r="D10" s="2" t="inlineStr">
        <is>
          <t>KPPBC TMP SOEKARNO HATTA</t>
        </is>
      </c>
      <c r="E10" s="2" t="inlineStr">
        <is>
          <t>KPPBC TMP BELAWAN</t>
        </is>
      </c>
      <c r="F10" s="2" t="inlineStr">
        <is>
          <t>PT IND*** CBP MAKMUR</t>
        </is>
      </c>
      <c r="G10" s="2" t="inlineStr">
        <is>
          <t>09.652.***.*-770.000</t>
        </is>
      </c>
      <c r="H10" s="2" t="inlineStr">
        <is>
          <t>01.813.***.*-909.000</t>
        </is>
      </c>
      <c r="I10" s="2" t="inlineStr">
        <is>
          <t>PT CIP*** SEGARA INTERNASIONAL</t>
        </is>
      </c>
      <c r="J10" s="2" t="inlineStr">
        <is>
          <t>MITSUBISHI CORPORATION RTM JAPAN LTD.</t>
        </is>
      </c>
      <c r="K10" s="2" t="inlineStr">
        <is>
          <t>India</t>
        </is>
      </c>
      <c r="L10" s="2" t="inlineStr">
        <is>
          <t>MITSUBISHI CORP BUYER INC.</t>
        </is>
      </c>
      <c r="M10" s="2" t="inlineStr">
        <is>
          <t>India</t>
        </is>
      </c>
      <c r="N10" s="2" t="inlineStr">
        <is>
          <t>India</t>
        </is>
      </c>
      <c r="O10" s="2" t="n">
        <v>1</v>
      </c>
      <c r="P10" s="2" t="inlineStr">
        <is>
          <t>7112999000</t>
        </is>
      </c>
      <c r="Q10" s="2" t="inlineStr">
        <is>
          <t>SILVER CHAIN SCRAPS</t>
        </is>
      </c>
      <c r="R10" s="2" t="n">
        <v>5200</v>
      </c>
      <c r="S10" s="2" t="inlineStr">
        <is>
          <t>KGM</t>
        </is>
      </c>
      <c r="T10" s="2" t="n">
        <v>5200</v>
      </c>
      <c r="U10" s="2" t="inlineStr">
        <is>
          <t>USD</t>
        </is>
      </c>
      <c r="V10" s="2" t="n">
        <v>15500</v>
      </c>
      <c r="W10" s="4" t="n">
        <v>120000</v>
      </c>
      <c r="X10" s="5" t="n">
        <v>0.05</v>
      </c>
      <c r="Y10" s="5" t="n">
        <v>93000000</v>
      </c>
      <c r="Z10" s="5" t="n">
        <v>27900000</v>
      </c>
      <c r="AA10" s="2" t="inlineStr">
        <is>
          <t>K</t>
        </is>
      </c>
      <c r="AB10" s="2" t="inlineStr">
        <is>
          <t>KUNING</t>
        </is>
      </c>
      <c r="AC10" s="2" t="inlineStr">
        <is>
          <t>NPE</t>
        </is>
      </c>
      <c r="AD10" s="2" t="inlineStr">
        <is>
          <t>SELESAI (NPE)</t>
        </is>
      </c>
      <c r="AE10" s="2" t="inlineStr">
        <is>
          <t>INVOICE: SLMMMC2026-01 (Tgl: 2026-08-25)</t>
        </is>
      </c>
    </row>
    <row r="11">
      <c r="A11" s="2" t="inlineStr">
        <is>
          <t>07000000022220260918100010</t>
        </is>
      </c>
      <c r="B11" s="2" t="inlineStr">
        <is>
          <t>004766</t>
        </is>
      </c>
      <c r="C11" s="3" t="inlineStr">
        <is>
          <t>2026-09-18</t>
        </is>
      </c>
      <c r="D11" s="2" t="inlineStr">
        <is>
          <t>KPPBC TMP TANJUNG PRIOK</t>
        </is>
      </c>
      <c r="E11" s="2" t="inlineStr">
        <is>
          <t>KPPBC TMP BELAWAN</t>
        </is>
      </c>
      <c r="F11" s="2" t="inlineStr">
        <is>
          <t>PT MAY*** INDAH TBK</t>
        </is>
      </c>
      <c r="G11" s="2" t="inlineStr">
        <is>
          <t>04.573.***.*-857.000</t>
        </is>
      </c>
      <c r="H11" s="2" t="inlineStr">
        <is>
          <t>01.813.***.*-500.000</t>
        </is>
      </c>
      <c r="I11" s="2" t="inlineStr">
        <is>
          <t>PT CIP*** SEGARA INTERNASIONAL</t>
        </is>
      </c>
      <c r="J11" s="2" t="inlineStr">
        <is>
          <t>MITSUBISHI CORPORATION RTM JAPAN LTD.</t>
        </is>
      </c>
      <c r="K11" s="2" t="inlineStr">
        <is>
          <t>India</t>
        </is>
      </c>
      <c r="L11" s="2" t="inlineStr">
        <is>
          <t>MITSUBISHI CORP BUYER INC.</t>
        </is>
      </c>
      <c r="M11" s="2" t="inlineStr">
        <is>
          <t>India</t>
        </is>
      </c>
      <c r="N11" s="2" t="inlineStr">
        <is>
          <t>India</t>
        </is>
      </c>
      <c r="O11" s="2" t="n">
        <v>1</v>
      </c>
      <c r="P11" s="2" t="inlineStr">
        <is>
          <t>7112991000</t>
        </is>
      </c>
      <c r="Q11" s="2" t="inlineStr">
        <is>
          <t>ANODE SLIME (HASIL PEMURNIAN TEMBAGA)</t>
        </is>
      </c>
      <c r="R11" s="2" t="n">
        <v>22000</v>
      </c>
      <c r="S11" s="2" t="inlineStr">
        <is>
          <t>KGM</t>
        </is>
      </c>
      <c r="T11" s="2" t="n">
        <v>22000</v>
      </c>
      <c r="U11" s="2" t="inlineStr">
        <is>
          <t>USD</t>
        </is>
      </c>
      <c r="V11" s="2" t="n">
        <v>15500</v>
      </c>
      <c r="W11" s="4" t="n">
        <v>120000</v>
      </c>
      <c r="X11" s="5" t="n">
        <v>0.05</v>
      </c>
      <c r="Y11" s="5" t="n">
        <v>93000000</v>
      </c>
      <c r="Z11" s="5" t="n">
        <v>27900000</v>
      </c>
      <c r="AA11" s="2" t="inlineStr">
        <is>
          <t>H</t>
        </is>
      </c>
      <c r="AB11" s="2" t="inlineStr">
        <is>
          <t>HIJAU</t>
        </is>
      </c>
      <c r="AC11" s="2" t="inlineStr">
        <is>
          <t>NPE</t>
        </is>
      </c>
      <c r="AD11" s="2" t="inlineStr">
        <is>
          <t>SELESAI (NPE)</t>
        </is>
      </c>
      <c r="AE11" s="2" t="inlineStr">
        <is>
          <t>INVOICE: SLMMMC2026-01 (Tgl: 2026-09-18)</t>
        </is>
      </c>
    </row>
    <row r="12">
      <c r="A12" s="2" t="inlineStr">
        <is>
          <t>07000000022220260726100011</t>
        </is>
      </c>
      <c r="B12" s="2" t="inlineStr">
        <is>
          <t>005207</t>
        </is>
      </c>
      <c r="C12" s="3" t="inlineStr">
        <is>
          <t>2026-07-26</t>
        </is>
      </c>
      <c r="D12" s="2" t="inlineStr">
        <is>
          <t>KPPBC TMP TANJUNG PRIOK</t>
        </is>
      </c>
      <c r="E12" s="2" t="inlineStr">
        <is>
          <t>KPPBC TMP BELAWAN</t>
        </is>
      </c>
      <c r="F12" s="2" t="inlineStr">
        <is>
          <t>PT AST*** AGRO LESTARI</t>
        </is>
      </c>
      <c r="G12" s="2" t="inlineStr">
        <is>
          <t>03.394.***.*-592.000</t>
        </is>
      </c>
      <c r="H12" s="2" t="inlineStr">
        <is>
          <t>01.813.***.*-615.000</t>
        </is>
      </c>
      <c r="I12" s="2" t="inlineStr">
        <is>
          <t>PT CIP*** SEGARA INTERNASIONAL</t>
        </is>
      </c>
      <c r="J12" s="2" t="inlineStr">
        <is>
          <t>MITSUBISHI CORPORATION RTM JAPAN LTD.</t>
        </is>
      </c>
      <c r="K12" s="2" t="inlineStr">
        <is>
          <t>Singapura</t>
        </is>
      </c>
      <c r="L12" s="2" t="inlineStr">
        <is>
          <t>MITSUBISHI CORP BUYER INC.</t>
        </is>
      </c>
      <c r="M12" s="2" t="inlineStr">
        <is>
          <t>Singapura</t>
        </is>
      </c>
      <c r="N12" s="2" t="inlineStr">
        <is>
          <t>Singapura</t>
        </is>
      </c>
      <c r="O12" s="2" t="n">
        <v>1</v>
      </c>
      <c r="P12" s="2" t="inlineStr">
        <is>
          <t>7112991000</t>
        </is>
      </c>
      <c r="Q12" s="2" t="inlineStr">
        <is>
          <t>WASTE AND SCRAP OF PRECIOUS METAL</t>
        </is>
      </c>
      <c r="R12" s="2" t="n">
        <v>10650</v>
      </c>
      <c r="S12" s="2" t="inlineStr">
        <is>
          <t>KGM</t>
        </is>
      </c>
      <c r="T12" s="2" t="n">
        <v>10650</v>
      </c>
      <c r="U12" s="2" t="inlineStr">
        <is>
          <t>USD</t>
        </is>
      </c>
      <c r="V12" s="2" t="n">
        <v>15500</v>
      </c>
      <c r="W12" s="4" t="n">
        <v>520000</v>
      </c>
      <c r="X12" s="5" t="n">
        <v>0.1</v>
      </c>
      <c r="Y12" s="5" t="n">
        <v>806000000</v>
      </c>
      <c r="Z12" s="5" t="n">
        <v>120900000</v>
      </c>
      <c r="AA12" s="2" t="inlineStr">
        <is>
          <t>H</t>
        </is>
      </c>
      <c r="AB12" s="2" t="inlineStr">
        <is>
          <t>HIJAU</t>
        </is>
      </c>
      <c r="AC12" s="2" t="inlineStr">
        <is>
          <t>NPE</t>
        </is>
      </c>
      <c r="AD12" s="2" t="inlineStr">
        <is>
          <t>SELESAI (NPE)</t>
        </is>
      </c>
      <c r="AE12" s="2" t="inlineStr">
        <is>
          <t>INVOICE: SLMMMC2026-01 (Tgl: 2026-07-26)</t>
        </is>
      </c>
    </row>
    <row r="13">
      <c r="A13" s="2" t="inlineStr">
        <is>
          <t>07000000022220260731100012</t>
        </is>
      </c>
      <c r="B13" s="2" t="inlineStr">
        <is>
          <t>008407</t>
        </is>
      </c>
      <c r="C13" s="3" t="inlineStr">
        <is>
          <t>2026-07-31</t>
        </is>
      </c>
      <c r="D13" s="2" t="inlineStr">
        <is>
          <t>KPPBC TMP TANJUNG PERAK</t>
        </is>
      </c>
      <c r="E13" s="2" t="inlineStr">
        <is>
          <t>KPPBC TMP BELAWAN</t>
        </is>
      </c>
      <c r="F13" s="2" t="inlineStr">
        <is>
          <t>PT KAL*** FARMA TBK</t>
        </is>
      </c>
      <c r="G13" s="2" t="inlineStr">
        <is>
          <t>06.368.***.*-236.000</t>
        </is>
      </c>
      <c r="H13" s="2" t="inlineStr">
        <is>
          <t>01.813.***.*-162.000</t>
        </is>
      </c>
      <c r="I13" s="2" t="inlineStr">
        <is>
          <t>PT CIP*** SEGARA INTERNASIONAL</t>
        </is>
      </c>
      <c r="J13" s="2" t="inlineStr">
        <is>
          <t>MITSUBISHI CORPORATION RTM JAPAN LTD.</t>
        </is>
      </c>
      <c r="K13" s="2" t="inlineStr">
        <is>
          <t>Tiongkok</t>
        </is>
      </c>
      <c r="L13" s="2" t="inlineStr">
        <is>
          <t>MITSUBISHI CORP BUYER INC.</t>
        </is>
      </c>
      <c r="M13" s="2" t="inlineStr">
        <is>
          <t>Tiongkok</t>
        </is>
      </c>
      <c r="N13" s="2" t="inlineStr">
        <is>
          <t>Tiongkok</t>
        </is>
      </c>
      <c r="O13" s="2" t="n">
        <v>1</v>
      </c>
      <c r="P13" s="2" t="inlineStr">
        <is>
          <t>7112300000</t>
        </is>
      </c>
      <c r="Q13" s="2" t="inlineStr">
        <is>
          <t>SILVER CHAIN SCRAPS</t>
        </is>
      </c>
      <c r="R13" s="2" t="n">
        <v>15400</v>
      </c>
      <c r="S13" s="2" t="inlineStr">
        <is>
          <t>KGM</t>
        </is>
      </c>
      <c r="T13" s="2" t="n">
        <v>15400</v>
      </c>
      <c r="U13" s="2" t="inlineStr">
        <is>
          <t>USD</t>
        </is>
      </c>
      <c r="V13" s="2" t="n">
        <v>15500</v>
      </c>
      <c r="W13" s="4" t="n">
        <v>120000</v>
      </c>
      <c r="X13" s="5" t="n">
        <v>0.05</v>
      </c>
      <c r="Y13" s="5" t="n">
        <v>0</v>
      </c>
      <c r="Z13" s="5" t="n">
        <v>0</v>
      </c>
      <c r="AA13" s="2" t="inlineStr">
        <is>
          <t>H</t>
        </is>
      </c>
      <c r="AB13" s="2" t="inlineStr">
        <is>
          <t>HIJAU</t>
        </is>
      </c>
      <c r="AC13" s="2" t="inlineStr">
        <is>
          <t>NPE</t>
        </is>
      </c>
      <c r="AD13" s="2" t="inlineStr">
        <is>
          <t>SELESAI (NPE)</t>
        </is>
      </c>
      <c r="AE13" s="2" t="inlineStr">
        <is>
          <t>INVOICE: SLMMMC2026-01 (Tgl: 2026-07-31)</t>
        </is>
      </c>
    </row>
    <row r="14">
      <c r="A14" s="2" t="inlineStr">
        <is>
          <t>07000000022220260725100013</t>
        </is>
      </c>
      <c r="B14" s="2" t="inlineStr">
        <is>
          <t>005579</t>
        </is>
      </c>
      <c r="C14" s="3" t="inlineStr">
        <is>
          <t>2026-07-25</t>
        </is>
      </c>
      <c r="D14" s="2" t="inlineStr">
        <is>
          <t>KPPBC TMP TANJUNG PRIOK</t>
        </is>
      </c>
      <c r="E14" s="2" t="inlineStr">
        <is>
          <t>KPPBC TMP BELAWAN</t>
        </is>
      </c>
      <c r="F14" s="2" t="inlineStr">
        <is>
          <t>PT IND*** CBP MAKMUR</t>
        </is>
      </c>
      <c r="G14" s="2" t="inlineStr">
        <is>
          <t>05.662.***.*-567.000</t>
        </is>
      </c>
      <c r="H14" s="2" t="inlineStr">
        <is>
          <t>01.813.***.*-990.000</t>
        </is>
      </c>
      <c r="I14" s="2" t="inlineStr">
        <is>
          <t>PT CIP*** SEGARA INTERNASIONAL</t>
        </is>
      </c>
      <c r="J14" s="2" t="inlineStr">
        <is>
          <t>MITSUBISHI CORPORATION RTM JAPAN LTD.</t>
        </is>
      </c>
      <c r="K14" s="2" t="inlineStr">
        <is>
          <t>Tiongkok</t>
        </is>
      </c>
      <c r="L14" s="2" t="inlineStr">
        <is>
          <t>MITSUBISHI CORP BUYER INC.</t>
        </is>
      </c>
      <c r="M14" s="2" t="inlineStr">
        <is>
          <t>Tiongkok</t>
        </is>
      </c>
      <c r="N14" s="2" t="inlineStr">
        <is>
          <t>Tiongkok</t>
        </is>
      </c>
      <c r="O14" s="2" t="n">
        <v>1</v>
      </c>
      <c r="P14" s="2" t="inlineStr">
        <is>
          <t>7112999000</t>
        </is>
      </c>
      <c r="Q14" s="2" t="inlineStr">
        <is>
          <t>SILVER CHAIN SCRAPS</t>
        </is>
      </c>
      <c r="R14" s="2" t="n">
        <v>10650</v>
      </c>
      <c r="S14" s="2" t="inlineStr">
        <is>
          <t>KGM</t>
        </is>
      </c>
      <c r="T14" s="2" t="n">
        <v>10650</v>
      </c>
      <c r="U14" s="2" t="inlineStr">
        <is>
          <t>USD</t>
        </is>
      </c>
      <c r="V14" s="2" t="n">
        <v>15500</v>
      </c>
      <c r="W14" s="4" t="n">
        <v>520000</v>
      </c>
      <c r="X14" s="5" t="n">
        <v>0.05</v>
      </c>
      <c r="Y14" s="5" t="n">
        <v>403000000</v>
      </c>
      <c r="Z14" s="5" t="n">
        <v>120900000</v>
      </c>
      <c r="AA14" s="2" t="inlineStr">
        <is>
          <t>H</t>
        </is>
      </c>
      <c r="AB14" s="2" t="inlineStr">
        <is>
          <t>HIJAU</t>
        </is>
      </c>
      <c r="AC14" s="2" t="inlineStr">
        <is>
          <t>NPE</t>
        </is>
      </c>
      <c r="AD14" s="2" t="inlineStr">
        <is>
          <t>SELESAI (NPE)</t>
        </is>
      </c>
      <c r="AE14" s="2" t="inlineStr">
        <is>
          <t>INVOICE: SLMMMC2026-01 (Tgl: 2026-07-25)</t>
        </is>
      </c>
    </row>
    <row r="15">
      <c r="A15" s="2" t="inlineStr">
        <is>
          <t>07000000022220260830100014</t>
        </is>
      </c>
      <c r="B15" s="2" t="inlineStr">
        <is>
          <t>003928</t>
        </is>
      </c>
      <c r="C15" s="3" t="inlineStr">
        <is>
          <t>2026-08-30</t>
        </is>
      </c>
      <c r="D15" s="2" t="inlineStr">
        <is>
          <t>KPPBC TMP BELAWAN</t>
        </is>
      </c>
      <c r="E15" s="2" t="inlineStr">
        <is>
          <t>KPPBC TMP BELAWAN</t>
        </is>
      </c>
      <c r="F15" s="2" t="inlineStr">
        <is>
          <t>PT UNI*** INDONESIA</t>
        </is>
      </c>
      <c r="G15" s="2" t="inlineStr">
        <is>
          <t>06.347.***.*-450.000</t>
        </is>
      </c>
      <c r="H15" s="2" t="inlineStr">
        <is>
          <t>01.813.***.*-260.000</t>
        </is>
      </c>
      <c r="I15" s="2" t="inlineStr">
        <is>
          <t>PT CIP*** SEGARA INTERNASIONAL</t>
        </is>
      </c>
      <c r="J15" s="2" t="inlineStr">
        <is>
          <t>MITSUBISHI CORPORATION RTM JAPAN LTD.</t>
        </is>
      </c>
      <c r="K15" s="2" t="inlineStr">
        <is>
          <t>Singapura</t>
        </is>
      </c>
      <c r="L15" s="2" t="inlineStr">
        <is>
          <t>MITSUBISHI CORP BUYER INC.</t>
        </is>
      </c>
      <c r="M15" s="2" t="inlineStr">
        <is>
          <t>Singapura</t>
        </is>
      </c>
      <c r="N15" s="2" t="inlineStr">
        <is>
          <t>Singapura</t>
        </is>
      </c>
      <c r="O15" s="2" t="n">
        <v>1</v>
      </c>
      <c r="P15" s="2" t="inlineStr">
        <is>
          <t>7112999000</t>
        </is>
      </c>
      <c r="Q15" s="2" t="inlineStr">
        <is>
          <t>SILVER CHAIN SCRAPS</t>
        </is>
      </c>
      <c r="R15" s="2" t="n">
        <v>10650</v>
      </c>
      <c r="S15" s="2" t="inlineStr">
        <is>
          <t>KGM</t>
        </is>
      </c>
      <c r="T15" s="2" t="n">
        <v>10650</v>
      </c>
      <c r="U15" s="2" t="inlineStr">
        <is>
          <t>USD</t>
        </is>
      </c>
      <c r="V15" s="2" t="n">
        <v>15500</v>
      </c>
      <c r="W15" s="4" t="n">
        <v>25000</v>
      </c>
      <c r="X15" s="5" t="n">
        <v>0.075</v>
      </c>
      <c r="Y15" s="5" t="n">
        <v>29062500</v>
      </c>
      <c r="Z15" s="5" t="n">
        <v>5812500</v>
      </c>
      <c r="AA15" s="2" t="inlineStr">
        <is>
          <t>K</t>
        </is>
      </c>
      <c r="AB15" s="2" t="inlineStr">
        <is>
          <t>KUNING</t>
        </is>
      </c>
      <c r="AC15" s="2" t="inlineStr">
        <is>
          <t>NPE</t>
        </is>
      </c>
      <c r="AD15" s="2" t="inlineStr">
        <is>
          <t>SELESAI (NPE)</t>
        </is>
      </c>
      <c r="AE15" s="2" t="inlineStr">
        <is>
          <t>INVOICE: SLMMMC2026-01 (Tgl: 2026-08-30)</t>
        </is>
      </c>
    </row>
    <row r="16">
      <c r="A16" s="2" t="inlineStr">
        <is>
          <t>07000000022220260923100015</t>
        </is>
      </c>
      <c r="B16" s="2" t="inlineStr">
        <is>
          <t>002714</t>
        </is>
      </c>
      <c r="C16" s="3" t="inlineStr">
        <is>
          <t>2026-09-23</t>
        </is>
      </c>
      <c r="D16" s="2" t="inlineStr">
        <is>
          <t>KPPBC TMP BELAWAN</t>
        </is>
      </c>
      <c r="E16" s="2" t="inlineStr">
        <is>
          <t>KPPBC TMP TANJUNG PRIOK</t>
        </is>
      </c>
      <c r="F16" s="2" t="inlineStr">
        <is>
          <t>PT MAY*** INDAH TBK</t>
        </is>
      </c>
      <c r="G16" s="2" t="inlineStr">
        <is>
          <t>06.272.***.*-835.000</t>
        </is>
      </c>
      <c r="H16" s="2" t="inlineStr">
        <is>
          <t>01.813.***.*-188.000</t>
        </is>
      </c>
      <c r="I16" s="2" t="inlineStr">
        <is>
          <t>PT CIP*** SEGARA INTERNASIONAL</t>
        </is>
      </c>
      <c r="J16" s="2" t="inlineStr">
        <is>
          <t>MITSUBISHI CORPORATION RTM JAPAN LTD.</t>
        </is>
      </c>
      <c r="K16" s="2" t="inlineStr">
        <is>
          <t>Australia</t>
        </is>
      </c>
      <c r="L16" s="2" t="inlineStr">
        <is>
          <t>MITSUBISHI CORP BUYER INC.</t>
        </is>
      </c>
      <c r="M16" s="2" t="inlineStr">
        <is>
          <t>Australia</t>
        </is>
      </c>
      <c r="N16" s="2" t="inlineStr">
        <is>
          <t>Australia</t>
        </is>
      </c>
      <c r="O16" s="2" t="n">
        <v>1</v>
      </c>
      <c r="P16" s="2" t="inlineStr">
        <is>
          <t>7112300000</t>
        </is>
      </c>
      <c r="Q16" s="2" t="inlineStr">
        <is>
          <t>WASTE AND SCRAP OF PRECIOUS METAL</t>
        </is>
      </c>
      <c r="R16" s="2" t="n">
        <v>5200</v>
      </c>
      <c r="S16" s="2" t="inlineStr">
        <is>
          <t>KGM</t>
        </is>
      </c>
      <c r="T16" s="2" t="n">
        <v>5200</v>
      </c>
      <c r="U16" s="2" t="inlineStr">
        <is>
          <t>USD</t>
        </is>
      </c>
      <c r="V16" s="2" t="n">
        <v>15500</v>
      </c>
      <c r="W16" s="4" t="n">
        <v>120000</v>
      </c>
      <c r="X16" s="5" t="n">
        <v>0.15</v>
      </c>
      <c r="Y16" s="5" t="n">
        <v>279000000</v>
      </c>
      <c r="Z16" s="5" t="n">
        <v>27900000</v>
      </c>
      <c r="AA16" s="2" t="inlineStr">
        <is>
          <t>K</t>
        </is>
      </c>
      <c r="AB16" s="2" t="inlineStr">
        <is>
          <t>KUNING</t>
        </is>
      </c>
      <c r="AC16" s="2" t="inlineStr">
        <is>
          <t>NPE</t>
        </is>
      </c>
      <c r="AD16" s="2" t="inlineStr">
        <is>
          <t>SELESAI (NPE)</t>
        </is>
      </c>
      <c r="AE16" s="2" t="inlineStr">
        <is>
          <t>INVOICE: SLMMMC2026-01 (Tgl: 2026-09-23)</t>
        </is>
      </c>
    </row>
    <row r="17">
      <c r="A17" s="2" t="inlineStr">
        <is>
          <t>07000000022220260727100016</t>
        </is>
      </c>
      <c r="B17" s="2" t="inlineStr">
        <is>
          <t>009646</t>
        </is>
      </c>
      <c r="C17" s="3" t="inlineStr">
        <is>
          <t>2026-07-27</t>
        </is>
      </c>
      <c r="D17" s="2" t="inlineStr">
        <is>
          <t>KPPBC TMP TANJUNG PRIOK</t>
        </is>
      </c>
      <c r="E17" s="2" t="inlineStr">
        <is>
          <t>KPPBC TMP TANJUNG PERAK</t>
        </is>
      </c>
      <c r="F17" s="2" t="inlineStr">
        <is>
          <t>PT KAL*** FARMA TBK</t>
        </is>
      </c>
      <c r="G17" s="2" t="inlineStr">
        <is>
          <t>09.569.***.*-990.000</t>
        </is>
      </c>
      <c r="H17" s="2" t="inlineStr">
        <is>
          <t>01.813.***.*-135.000</t>
        </is>
      </c>
      <c r="I17" s="2" t="inlineStr">
        <is>
          <t>PT CIP*** SEGARA INTERNASIONAL</t>
        </is>
      </c>
      <c r="J17" s="2" t="inlineStr">
        <is>
          <t>MITSUBISHI CORPORATION RTM JAPAN LTD.</t>
        </is>
      </c>
      <c r="K17" s="2" t="inlineStr">
        <is>
          <t>India</t>
        </is>
      </c>
      <c r="L17" s="2" t="inlineStr">
        <is>
          <t>MITSUBISHI CORP BUYER INC.</t>
        </is>
      </c>
      <c r="M17" s="2" t="inlineStr">
        <is>
          <t>India</t>
        </is>
      </c>
      <c r="N17" s="2" t="inlineStr">
        <is>
          <t>India</t>
        </is>
      </c>
      <c r="O17" s="2" t="n">
        <v>1</v>
      </c>
      <c r="P17" s="2" t="inlineStr">
        <is>
          <t>7112920000</t>
        </is>
      </c>
      <c r="Q17" s="2" t="inlineStr">
        <is>
          <t>ELECTRONIC SCRAP CONTAINING GOLD</t>
        </is>
      </c>
      <c r="R17" s="2" t="n">
        <v>5200</v>
      </c>
      <c r="S17" s="2" t="inlineStr">
        <is>
          <t>KGM</t>
        </is>
      </c>
      <c r="T17" s="2" t="n">
        <v>5200</v>
      </c>
      <c r="U17" s="2" t="inlineStr">
        <is>
          <t>USD</t>
        </is>
      </c>
      <c r="V17" s="2" t="n">
        <v>15500</v>
      </c>
      <c r="W17" s="4" t="n">
        <v>185000</v>
      </c>
      <c r="X17" s="5" t="n">
        <v>0.1</v>
      </c>
      <c r="Y17" s="5" t="n">
        <v>0</v>
      </c>
      <c r="Z17" s="5" t="n">
        <v>0</v>
      </c>
      <c r="AA17" s="2" t="inlineStr">
        <is>
          <t>H</t>
        </is>
      </c>
      <c r="AB17" s="2" t="inlineStr">
        <is>
          <t>HIJAU</t>
        </is>
      </c>
      <c r="AC17" s="2" t="inlineStr">
        <is>
          <t>NPE</t>
        </is>
      </c>
      <c r="AD17" s="2" t="inlineStr">
        <is>
          <t>SELESAI (NPE)</t>
        </is>
      </c>
      <c r="AE17" s="2" t="inlineStr">
        <is>
          <t>INVOICE: SLMMMC2026-01 (Tgl: 2026-07-27)</t>
        </is>
      </c>
    </row>
    <row r="18">
      <c r="A18" s="2" t="inlineStr">
        <is>
          <t>07000000022220260731100017</t>
        </is>
      </c>
      <c r="B18" s="2" t="inlineStr">
        <is>
          <t>005471</t>
        </is>
      </c>
      <c r="C18" s="3" t="inlineStr">
        <is>
          <t>2026-07-31</t>
        </is>
      </c>
      <c r="D18" s="2" t="inlineStr">
        <is>
          <t>KPPBC TMP BELAWAN</t>
        </is>
      </c>
      <c r="E18" s="2" t="inlineStr">
        <is>
          <t>KPPBC TMP TANJUNG PRIOK</t>
        </is>
      </c>
      <c r="F18" s="2" t="inlineStr">
        <is>
          <t>PT IND*** CBP MAKMUR</t>
        </is>
      </c>
      <c r="G18" s="2" t="inlineStr">
        <is>
          <t>06.816.***.*-634.000</t>
        </is>
      </c>
      <c r="H18" s="2" t="inlineStr">
        <is>
          <t>01.813.***.*-156.000</t>
        </is>
      </c>
      <c r="I18" s="2" t="inlineStr">
        <is>
          <t>PT CIP*** SEGARA INTERNASIONAL</t>
        </is>
      </c>
      <c r="J18" s="2" t="inlineStr">
        <is>
          <t>MITSUBISHI CORPORATION RTM JAPAN LTD.</t>
        </is>
      </c>
      <c r="K18" s="2" t="inlineStr">
        <is>
          <t>Amerika Serikat</t>
        </is>
      </c>
      <c r="L18" s="2" t="inlineStr">
        <is>
          <t>MITSUBISHI CORP BUYER INC.</t>
        </is>
      </c>
      <c r="M18" s="2" t="inlineStr">
        <is>
          <t>Amerika Serikat</t>
        </is>
      </c>
      <c r="N18" s="2" t="inlineStr">
        <is>
          <t>Amerika Serikat</t>
        </is>
      </c>
      <c r="O18" s="2" t="n">
        <v>1</v>
      </c>
      <c r="P18" s="2" t="inlineStr">
        <is>
          <t>7112300000</t>
        </is>
      </c>
      <c r="Q18" s="2" t="inlineStr">
        <is>
          <t>SILVER CHAIN SCRAPS</t>
        </is>
      </c>
      <c r="R18" s="2" t="n">
        <v>5200</v>
      </c>
      <c r="S18" s="2" t="inlineStr">
        <is>
          <t>KGM</t>
        </is>
      </c>
      <c r="T18" s="2" t="n">
        <v>5200</v>
      </c>
      <c r="U18" s="2" t="inlineStr">
        <is>
          <t>USD</t>
        </is>
      </c>
      <c r="V18" s="2" t="n">
        <v>15500</v>
      </c>
      <c r="W18" s="4" t="n">
        <v>520000</v>
      </c>
      <c r="X18" s="5" t="n">
        <v>0.15</v>
      </c>
      <c r="Y18" s="5" t="n">
        <v>0</v>
      </c>
      <c r="Z18" s="5" t="n">
        <v>0</v>
      </c>
      <c r="AA18" s="2" t="inlineStr">
        <is>
          <t>M</t>
        </is>
      </c>
      <c r="AB18" s="2" t="inlineStr">
        <is>
          <t>MERAH</t>
        </is>
      </c>
      <c r="AC18" s="2" t="inlineStr">
        <is>
          <t>NPE</t>
        </is>
      </c>
      <c r="AD18" s="2" t="inlineStr">
        <is>
          <t>SELESAI (NPE)</t>
        </is>
      </c>
      <c r="AE18" s="2" t="inlineStr">
        <is>
          <t>INVOICE: SLMMMC2026-01 (Tgl: 2026-07-31)</t>
        </is>
      </c>
    </row>
    <row r="19">
      <c r="A19" s="2" t="inlineStr">
        <is>
          <t>07000000022220260909100018</t>
        </is>
      </c>
      <c r="B19" s="2" t="inlineStr">
        <is>
          <t>002883</t>
        </is>
      </c>
      <c r="C19" s="3" t="inlineStr">
        <is>
          <t>2026-09-09</t>
        </is>
      </c>
      <c r="D19" s="2" t="inlineStr">
        <is>
          <t>KPPBC TMP BELAWAN</t>
        </is>
      </c>
      <c r="E19" s="2" t="inlineStr">
        <is>
          <t>KPPBC TMP BELAWAN</t>
        </is>
      </c>
      <c r="F19" s="2" t="inlineStr">
        <is>
          <t>PT AST*** AGRO LESTARI</t>
        </is>
      </c>
      <c r="G19" s="2" t="inlineStr">
        <is>
          <t>05.549.***.*-568.000</t>
        </is>
      </c>
      <c r="H19" s="2" t="inlineStr">
        <is>
          <t>01.813.***.*-504.000</t>
        </is>
      </c>
      <c r="I19" s="2" t="inlineStr">
        <is>
          <t>PT CIP*** SEGARA INTERNASIONAL</t>
        </is>
      </c>
      <c r="J19" s="2" t="inlineStr">
        <is>
          <t>MITSUBISHI CORPORATION RTM JAPAN LTD.</t>
        </is>
      </c>
      <c r="K19" s="2" t="inlineStr">
        <is>
          <t>Singapura</t>
        </is>
      </c>
      <c r="L19" s="2" t="inlineStr">
        <is>
          <t>MITSUBISHI CORP BUYER INC.</t>
        </is>
      </c>
      <c r="M19" s="2" t="inlineStr">
        <is>
          <t>Singapura</t>
        </is>
      </c>
      <c r="N19" s="2" t="inlineStr">
        <is>
          <t>Singapura</t>
        </is>
      </c>
      <c r="O19" s="2" t="n">
        <v>1</v>
      </c>
      <c r="P19" s="2" t="inlineStr">
        <is>
          <t>7112300000</t>
        </is>
      </c>
      <c r="Q19" s="2" t="inlineStr">
        <is>
          <t>WASTE AND SCRAP OF PRECIOUS METAL</t>
        </is>
      </c>
      <c r="R19" s="2" t="n">
        <v>5200</v>
      </c>
      <c r="S19" s="2" t="inlineStr">
        <is>
          <t>KGM</t>
        </is>
      </c>
      <c r="T19" s="2" t="n">
        <v>5200</v>
      </c>
      <c r="U19" s="2" t="inlineStr">
        <is>
          <t>USD</t>
        </is>
      </c>
      <c r="V19" s="2" t="n">
        <v>15500</v>
      </c>
      <c r="W19" s="4" t="n">
        <v>185000</v>
      </c>
      <c r="X19" s="5" t="n">
        <v>0.075</v>
      </c>
      <c r="Y19" s="5" t="n">
        <v>215062500</v>
      </c>
      <c r="Z19" s="5" t="n">
        <v>43012500</v>
      </c>
      <c r="AA19" s="2" t="inlineStr">
        <is>
          <t>H</t>
        </is>
      </c>
      <c r="AB19" s="2" t="inlineStr">
        <is>
          <t>HIJAU</t>
        </is>
      </c>
      <c r="AC19" s="2" t="inlineStr">
        <is>
          <t>NPE</t>
        </is>
      </c>
      <c r="AD19" s="2" t="inlineStr">
        <is>
          <t>SELESAI (NPE)</t>
        </is>
      </c>
      <c r="AE19" s="2" t="inlineStr">
        <is>
          <t>INVOICE: SLMMMC2026-01 (Tgl: 2026-09-09)</t>
        </is>
      </c>
    </row>
    <row r="20">
      <c r="A20" s="2" t="inlineStr">
        <is>
          <t>07000000022220260808100019</t>
        </is>
      </c>
      <c r="B20" s="2" t="inlineStr">
        <is>
          <t>001025</t>
        </is>
      </c>
      <c r="C20" s="3" t="inlineStr">
        <is>
          <t>2026-08-08</t>
        </is>
      </c>
      <c r="D20" s="2" t="inlineStr">
        <is>
          <t>KPPBC TMP TANJUNG PERAK</t>
        </is>
      </c>
      <c r="E20" s="2" t="inlineStr">
        <is>
          <t>KPPBC TMP TANJUNG PRIOK</t>
        </is>
      </c>
      <c r="F20" s="2" t="inlineStr">
        <is>
          <t>PT KAL*** FARMA TBK</t>
        </is>
      </c>
      <c r="G20" s="2" t="inlineStr">
        <is>
          <t>06.929.***.*-943.000</t>
        </is>
      </c>
      <c r="H20" s="2" t="inlineStr">
        <is>
          <t>01.813.***.*-561.000</t>
        </is>
      </c>
      <c r="I20" s="2" t="inlineStr">
        <is>
          <t>PT CIP*** SEGARA INTERNASIONAL</t>
        </is>
      </c>
      <c r="J20" s="2" t="inlineStr">
        <is>
          <t>MITSUBISHI CORPORATION RTM JAPAN LTD.</t>
        </is>
      </c>
      <c r="K20" s="2" t="inlineStr">
        <is>
          <t>Amerika Serikat</t>
        </is>
      </c>
      <c r="L20" s="2" t="inlineStr">
        <is>
          <t>MITSUBISHI CORP BUYER INC.</t>
        </is>
      </c>
      <c r="M20" s="2" t="inlineStr">
        <is>
          <t>Amerika Serikat</t>
        </is>
      </c>
      <c r="N20" s="2" t="inlineStr">
        <is>
          <t>Amerika Serikat</t>
        </is>
      </c>
      <c r="O20" s="2" t="n">
        <v>1</v>
      </c>
      <c r="P20" s="2" t="inlineStr">
        <is>
          <t>7112920000</t>
        </is>
      </c>
      <c r="Q20" s="2" t="inlineStr">
        <is>
          <t>ELECTRONIC SCRAP CONTAINING GOLD</t>
        </is>
      </c>
      <c r="R20" s="2" t="n">
        <v>10650</v>
      </c>
      <c r="S20" s="2" t="inlineStr">
        <is>
          <t>KGM</t>
        </is>
      </c>
      <c r="T20" s="2" t="n">
        <v>10650</v>
      </c>
      <c r="U20" s="2" t="inlineStr">
        <is>
          <t>USD</t>
        </is>
      </c>
      <c r="V20" s="2" t="n">
        <v>15500</v>
      </c>
      <c r="W20" s="4" t="n">
        <v>185000</v>
      </c>
      <c r="X20" s="5" t="n">
        <v>0.15</v>
      </c>
      <c r="Y20" s="5" t="n">
        <v>430125000</v>
      </c>
      <c r="Z20" s="5" t="n">
        <v>43012500</v>
      </c>
      <c r="AA20" s="2" t="inlineStr">
        <is>
          <t>H</t>
        </is>
      </c>
      <c r="AB20" s="2" t="inlineStr">
        <is>
          <t>HIJAU</t>
        </is>
      </c>
      <c r="AC20" s="2" t="inlineStr">
        <is>
          <t>NPE</t>
        </is>
      </c>
      <c r="AD20" s="2" t="inlineStr">
        <is>
          <t>SELESAI (NPE)</t>
        </is>
      </c>
      <c r="AE20" s="2" t="inlineStr">
        <is>
          <t>INVOICE: SLMMMC2026-01 (Tgl: 2026-08-08)</t>
        </is>
      </c>
    </row>
    <row r="21">
      <c r="A21" s="2" t="inlineStr">
        <is>
          <t>07000000022220260922100020</t>
        </is>
      </c>
      <c r="B21" s="2" t="inlineStr">
        <is>
          <t>003461</t>
        </is>
      </c>
      <c r="C21" s="3" t="inlineStr">
        <is>
          <t>2026-09-22</t>
        </is>
      </c>
      <c r="D21" s="2" t="inlineStr">
        <is>
          <t>KPPBC TMP TANJUNG PRIOK</t>
        </is>
      </c>
      <c r="E21" s="2" t="inlineStr">
        <is>
          <t>KPPBC TMP TANJUNG PRIOK</t>
        </is>
      </c>
      <c r="F21" s="2" t="inlineStr">
        <is>
          <t>PT KAL*** FARMA TBK</t>
        </is>
      </c>
      <c r="G21" s="2" t="inlineStr">
        <is>
          <t>05.318.***.*-555.000</t>
        </is>
      </c>
      <c r="H21" s="2" t="inlineStr">
        <is>
          <t>01.813.***.*-870.000</t>
        </is>
      </c>
      <c r="I21" s="2" t="inlineStr">
        <is>
          <t>PT CIP*** SEGARA INTERNASIONAL</t>
        </is>
      </c>
      <c r="J21" s="2" t="inlineStr">
        <is>
          <t>MITSUBISHI CORPORATION RTM JAPAN LTD.</t>
        </is>
      </c>
      <c r="K21" s="2" t="inlineStr">
        <is>
          <t>India</t>
        </is>
      </c>
      <c r="L21" s="2" t="inlineStr">
        <is>
          <t>MITSUBISHI CORP BUYER INC.</t>
        </is>
      </c>
      <c r="M21" s="2" t="inlineStr">
        <is>
          <t>India</t>
        </is>
      </c>
      <c r="N21" s="2" t="inlineStr">
        <is>
          <t>India</t>
        </is>
      </c>
      <c r="O21" s="2" t="n">
        <v>1</v>
      </c>
      <c r="P21" s="2" t="inlineStr">
        <is>
          <t>7112300000</t>
        </is>
      </c>
      <c r="Q21" s="2" t="inlineStr">
        <is>
          <t>ELECTRONIC SCRAP CONTAINING GOLD</t>
        </is>
      </c>
      <c r="R21" s="2" t="n">
        <v>31500</v>
      </c>
      <c r="S21" s="2" t="inlineStr">
        <is>
          <t>KGM</t>
        </is>
      </c>
      <c r="T21" s="2" t="n">
        <v>31500</v>
      </c>
      <c r="U21" s="2" t="inlineStr">
        <is>
          <t>USD</t>
        </is>
      </c>
      <c r="V21" s="2" t="n">
        <v>15500</v>
      </c>
      <c r="W21" s="4" t="n">
        <v>75000</v>
      </c>
      <c r="X21" s="5" t="n">
        <v>0.1</v>
      </c>
      <c r="Y21" s="5" t="n">
        <v>0</v>
      </c>
      <c r="Z21" s="5" t="n">
        <v>0</v>
      </c>
      <c r="AA21" s="2" t="inlineStr">
        <is>
          <t>H</t>
        </is>
      </c>
      <c r="AB21" s="2" t="inlineStr">
        <is>
          <t>HIJAU</t>
        </is>
      </c>
      <c r="AC21" s="2" t="inlineStr">
        <is>
          <t>NPE</t>
        </is>
      </c>
      <c r="AD21" s="2" t="inlineStr">
        <is>
          <t>SELESAI (NPE)</t>
        </is>
      </c>
      <c r="AE21" s="2" t="inlineStr">
        <is>
          <t>INVOICE: SLMMMC2026-01 (Tgl: 2026-09-22)</t>
        </is>
      </c>
    </row>
    <row r="22">
      <c r="A22" s="2" t="inlineStr">
        <is>
          <t>07000000022220260803100021</t>
        </is>
      </c>
      <c r="B22" s="2" t="inlineStr">
        <is>
          <t>006951</t>
        </is>
      </c>
      <c r="C22" s="3" t="inlineStr">
        <is>
          <t>2026-08-03</t>
        </is>
      </c>
      <c r="D22" s="2" t="inlineStr">
        <is>
          <t>KPPBC TMP TANJUNG PERAK</t>
        </is>
      </c>
      <c r="E22" s="2" t="inlineStr">
        <is>
          <t>KPPBC TMP BELAWAN</t>
        </is>
      </c>
      <c r="F22" s="2" t="inlineStr">
        <is>
          <t>PT KRA*** STEEL</t>
        </is>
      </c>
      <c r="G22" s="2" t="inlineStr">
        <is>
          <t>07.837.***.*-622.000</t>
        </is>
      </c>
      <c r="H22" s="2" t="inlineStr">
        <is>
          <t>01.813.***.*-274.000</t>
        </is>
      </c>
      <c r="I22" s="2" t="inlineStr">
        <is>
          <t>PT CIP*** SEGARA INTERNASIONAL</t>
        </is>
      </c>
      <c r="J22" s="2" t="inlineStr">
        <is>
          <t>MITSUBISHI CORPORATION RTM JAPAN LTD.</t>
        </is>
      </c>
      <c r="K22" s="2" t="inlineStr">
        <is>
          <t>Jepang</t>
        </is>
      </c>
      <c r="L22" s="2" t="inlineStr">
        <is>
          <t>MITSUBISHI CORP BUYER INC.</t>
        </is>
      </c>
      <c r="M22" s="2" t="inlineStr">
        <is>
          <t>Jepang</t>
        </is>
      </c>
      <c r="N22" s="2" t="inlineStr">
        <is>
          <t>Jepang</t>
        </is>
      </c>
      <c r="O22" s="2" t="n">
        <v>1</v>
      </c>
      <c r="P22" s="2" t="inlineStr">
        <is>
          <t>7112999000</t>
        </is>
      </c>
      <c r="Q22" s="2" t="inlineStr">
        <is>
          <t>ANODE SLIME (HASIL PEMURNIAN TEMBAGA)</t>
        </is>
      </c>
      <c r="R22" s="2" t="n">
        <v>10650</v>
      </c>
      <c r="S22" s="2" t="inlineStr">
        <is>
          <t>KGM</t>
        </is>
      </c>
      <c r="T22" s="2" t="n">
        <v>10650</v>
      </c>
      <c r="U22" s="2" t="inlineStr">
        <is>
          <t>USD</t>
        </is>
      </c>
      <c r="V22" s="2" t="n">
        <v>15500</v>
      </c>
      <c r="W22" s="4" t="n">
        <v>25000</v>
      </c>
      <c r="X22" s="5" t="n">
        <v>0.075</v>
      </c>
      <c r="Y22" s="5" t="n">
        <v>0</v>
      </c>
      <c r="Z22" s="5" t="n">
        <v>0</v>
      </c>
      <c r="AA22" s="2" t="inlineStr">
        <is>
          <t>H</t>
        </is>
      </c>
      <c r="AB22" s="2" t="inlineStr">
        <is>
          <t>HIJAU</t>
        </is>
      </c>
      <c r="AC22" s="2" t="inlineStr">
        <is>
          <t>NPE</t>
        </is>
      </c>
      <c r="AD22" s="2" t="inlineStr">
        <is>
          <t>SELESAI (NPE)</t>
        </is>
      </c>
      <c r="AE22" s="2" t="inlineStr">
        <is>
          <t>INVOICE: SLMMMC2026-01 (Tgl: 2026-08-03)</t>
        </is>
      </c>
    </row>
    <row r="23">
      <c r="A23" s="2" t="inlineStr">
        <is>
          <t>07000000022220260923100022</t>
        </is>
      </c>
      <c r="B23" s="2" t="inlineStr">
        <is>
          <t>008559</t>
        </is>
      </c>
      <c r="C23" s="3" t="inlineStr">
        <is>
          <t>2026-09-23</t>
        </is>
      </c>
      <c r="D23" s="2" t="inlineStr">
        <is>
          <t>KPPBC TMP TANJUNG PRIOK</t>
        </is>
      </c>
      <c r="E23" s="2" t="inlineStr">
        <is>
          <t>KPPBC TMP TANJUNG PRIOK</t>
        </is>
      </c>
      <c r="F23" s="2" t="inlineStr">
        <is>
          <t>PT AST*** AGRO LESTARI</t>
        </is>
      </c>
      <c r="G23" s="2" t="inlineStr">
        <is>
          <t>05.848.***.*-988.000</t>
        </is>
      </c>
      <c r="H23" s="2" t="inlineStr">
        <is>
          <t>01.813.***.*-125.000</t>
        </is>
      </c>
      <c r="I23" s="2" t="inlineStr">
        <is>
          <t>PT CIP*** SEGARA INTERNASIONAL</t>
        </is>
      </c>
      <c r="J23" s="2" t="inlineStr">
        <is>
          <t>MITSUBISHI CORPORATION RTM JAPAN LTD.</t>
        </is>
      </c>
      <c r="K23" s="2" t="inlineStr">
        <is>
          <t>Singapura</t>
        </is>
      </c>
      <c r="L23" s="2" t="inlineStr">
        <is>
          <t>MITSUBISHI CORP BUYER INC.</t>
        </is>
      </c>
      <c r="M23" s="2" t="inlineStr">
        <is>
          <t>Singapura</t>
        </is>
      </c>
      <c r="N23" s="2" t="inlineStr">
        <is>
          <t>Singapura</t>
        </is>
      </c>
      <c r="O23" s="2" t="n">
        <v>1</v>
      </c>
      <c r="P23" s="2" t="inlineStr">
        <is>
          <t>7112920000</t>
        </is>
      </c>
      <c r="Q23" s="2" t="inlineStr">
        <is>
          <t>ANODE SLIME (HASIL PEMURNIAN TEMBAGA)</t>
        </is>
      </c>
      <c r="R23" s="2" t="n">
        <v>31500</v>
      </c>
      <c r="S23" s="2" t="inlineStr">
        <is>
          <t>KGM</t>
        </is>
      </c>
      <c r="T23" s="2" t="n">
        <v>31500</v>
      </c>
      <c r="U23" s="2" t="inlineStr">
        <is>
          <t>USD</t>
        </is>
      </c>
      <c r="V23" s="2" t="n">
        <v>15500</v>
      </c>
      <c r="W23" s="4" t="n">
        <v>240000</v>
      </c>
      <c r="X23" s="5" t="n">
        <v>0.075</v>
      </c>
      <c r="Y23" s="5" t="n">
        <v>0</v>
      </c>
      <c r="Z23" s="5" t="n">
        <v>0</v>
      </c>
      <c r="AA23" s="2" t="inlineStr">
        <is>
          <t>H</t>
        </is>
      </c>
      <c r="AB23" s="2" t="inlineStr">
        <is>
          <t>HIJAU</t>
        </is>
      </c>
      <c r="AC23" s="2" t="inlineStr">
        <is>
          <t>NPE</t>
        </is>
      </c>
      <c r="AD23" s="2" t="inlineStr">
        <is>
          <t>SELESAI (NPE)</t>
        </is>
      </c>
      <c r="AE23" s="2" t="inlineStr">
        <is>
          <t>INVOICE: SLMMMC2026-01 (Tgl: 2026-09-23)</t>
        </is>
      </c>
    </row>
    <row r="24">
      <c r="A24" s="2" t="inlineStr">
        <is>
          <t>07000000022220260930100023</t>
        </is>
      </c>
      <c r="B24" s="2" t="inlineStr">
        <is>
          <t>006379</t>
        </is>
      </c>
      <c r="C24" s="3" t="inlineStr">
        <is>
          <t>2026-09-30</t>
        </is>
      </c>
      <c r="D24" s="2" t="inlineStr">
        <is>
          <t>KPPBC TMP TANJUNG PRIOK</t>
        </is>
      </c>
      <c r="E24" s="2" t="inlineStr">
        <is>
          <t>KPPBC TMP TANJUNG PERAK</t>
        </is>
      </c>
      <c r="F24" s="2" t="inlineStr">
        <is>
          <t>PT KAL*** FARMA TBK</t>
        </is>
      </c>
      <c r="G24" s="2" t="inlineStr">
        <is>
          <t>04.709.***.*-610.000</t>
        </is>
      </c>
      <c r="H24" s="2" t="inlineStr">
        <is>
          <t>01.813.***.*-556.000</t>
        </is>
      </c>
      <c r="I24" s="2" t="inlineStr">
        <is>
          <t>PT CIP*** SEGARA INTERNASIONAL</t>
        </is>
      </c>
      <c r="J24" s="2" t="inlineStr">
        <is>
          <t>MITSUBISHI CORPORATION RTM JAPAN LTD.</t>
        </is>
      </c>
      <c r="K24" s="2" t="inlineStr">
        <is>
          <t>Jepang</t>
        </is>
      </c>
      <c r="L24" s="2" t="inlineStr">
        <is>
          <t>MITSUBISHI CORP BUYER INC.</t>
        </is>
      </c>
      <c r="M24" s="2" t="inlineStr">
        <is>
          <t>Jepang</t>
        </is>
      </c>
      <c r="N24" s="2" t="inlineStr">
        <is>
          <t>Jepang</t>
        </is>
      </c>
      <c r="O24" s="2" t="n">
        <v>1</v>
      </c>
      <c r="P24" s="2" t="inlineStr">
        <is>
          <t>7112991000</t>
        </is>
      </c>
      <c r="Q24" s="2" t="inlineStr">
        <is>
          <t>ANODE SLIME (HASIL PEMURNIAN TEMBAGA)</t>
        </is>
      </c>
      <c r="R24" s="2" t="n">
        <v>22000</v>
      </c>
      <c r="S24" s="2" t="inlineStr">
        <is>
          <t>KGM</t>
        </is>
      </c>
      <c r="T24" s="2" t="n">
        <v>22000</v>
      </c>
      <c r="U24" s="2" t="inlineStr">
        <is>
          <t>USD</t>
        </is>
      </c>
      <c r="V24" s="2" t="n">
        <v>15500</v>
      </c>
      <c r="W24" s="4" t="n">
        <v>25000</v>
      </c>
      <c r="X24" s="5" t="n">
        <v>0.05</v>
      </c>
      <c r="Y24" s="5" t="n">
        <v>19375000</v>
      </c>
      <c r="Z24" s="5" t="n">
        <v>5812500</v>
      </c>
      <c r="AA24" s="2" t="inlineStr">
        <is>
          <t>K</t>
        </is>
      </c>
      <c r="AB24" s="2" t="inlineStr">
        <is>
          <t>KUNING</t>
        </is>
      </c>
      <c r="AC24" s="2" t="inlineStr">
        <is>
          <t>NPE</t>
        </is>
      </c>
      <c r="AD24" s="2" t="inlineStr">
        <is>
          <t>SELESAI (NPE)</t>
        </is>
      </c>
      <c r="AE24" s="2" t="inlineStr">
        <is>
          <t>INVOICE: SLMMMC2026-01 (Tgl: 2026-09-30)</t>
        </is>
      </c>
    </row>
    <row r="25">
      <c r="A25" s="2" t="inlineStr">
        <is>
          <t>07000000022220260901100024</t>
        </is>
      </c>
      <c r="B25" s="2" t="inlineStr">
        <is>
          <t>005231</t>
        </is>
      </c>
      <c r="C25" s="3" t="inlineStr">
        <is>
          <t>2026-09-01</t>
        </is>
      </c>
      <c r="D25" s="2" t="inlineStr">
        <is>
          <t>KPPBC TMP TANJUNG PRIOK</t>
        </is>
      </c>
      <c r="E25" s="2" t="inlineStr">
        <is>
          <t>KPPBC TMP TANJUNG PERAK</t>
        </is>
      </c>
      <c r="F25" s="2" t="inlineStr">
        <is>
          <t>PT AST*** AGRO LESTARI</t>
        </is>
      </c>
      <c r="G25" s="2" t="inlineStr">
        <is>
          <t>05.495.***.*-982.000</t>
        </is>
      </c>
      <c r="H25" s="2" t="inlineStr">
        <is>
          <t>01.813.***.*-657.000</t>
        </is>
      </c>
      <c r="I25" s="2" t="inlineStr">
        <is>
          <t>PT CIP*** SEGARA INTERNASIONAL</t>
        </is>
      </c>
      <c r="J25" s="2" t="inlineStr">
        <is>
          <t>MITSUBISHI CORPORATION RTM JAPAN LTD.</t>
        </is>
      </c>
      <c r="K25" s="2" t="inlineStr">
        <is>
          <t>Tiongkok</t>
        </is>
      </c>
      <c r="L25" s="2" t="inlineStr">
        <is>
          <t>MITSUBISHI CORP BUYER INC.</t>
        </is>
      </c>
      <c r="M25" s="2" t="inlineStr">
        <is>
          <t>Tiongkok</t>
        </is>
      </c>
      <c r="N25" s="2" t="inlineStr">
        <is>
          <t>Tiongkok</t>
        </is>
      </c>
      <c r="O25" s="2" t="n">
        <v>1</v>
      </c>
      <c r="P25" s="2" t="inlineStr">
        <is>
          <t>7112300000</t>
        </is>
      </c>
      <c r="Q25" s="2" t="inlineStr">
        <is>
          <t>ANODE SLIME (HASIL PEMURNIAN TEMBAGA)</t>
        </is>
      </c>
      <c r="R25" s="2" t="n">
        <v>5200</v>
      </c>
      <c r="S25" s="2" t="inlineStr">
        <is>
          <t>KGM</t>
        </is>
      </c>
      <c r="T25" s="2" t="n">
        <v>5200</v>
      </c>
      <c r="U25" s="2" t="inlineStr">
        <is>
          <t>USD</t>
        </is>
      </c>
      <c r="V25" s="2" t="n">
        <v>15500</v>
      </c>
      <c r="W25" s="4" t="n">
        <v>310000</v>
      </c>
      <c r="X25" s="5" t="n">
        <v>0.075</v>
      </c>
      <c r="Y25" s="5" t="n">
        <v>0</v>
      </c>
      <c r="Z25" s="5" t="n">
        <v>0</v>
      </c>
      <c r="AA25" s="2" t="inlineStr">
        <is>
          <t>H</t>
        </is>
      </c>
      <c r="AB25" s="2" t="inlineStr">
        <is>
          <t>HIJAU</t>
        </is>
      </c>
      <c r="AC25" s="2" t="inlineStr">
        <is>
          <t>NPE</t>
        </is>
      </c>
      <c r="AD25" s="2" t="inlineStr">
        <is>
          <t>SELESAI (NPE)</t>
        </is>
      </c>
      <c r="AE25" s="2" t="inlineStr">
        <is>
          <t>INVOICE: SLMMMC2026-01 (Tgl: 2026-09-01)</t>
        </is>
      </c>
    </row>
    <row r="26">
      <c r="A26" s="2" t="inlineStr">
        <is>
          <t>07000000022220260906100025</t>
        </is>
      </c>
      <c r="B26" s="2" t="inlineStr">
        <is>
          <t>008190</t>
        </is>
      </c>
      <c r="C26" s="3" t="inlineStr">
        <is>
          <t>2026-09-06</t>
        </is>
      </c>
      <c r="D26" s="2" t="inlineStr">
        <is>
          <t>KPPBC TMP BELAWAN</t>
        </is>
      </c>
      <c r="E26" s="2" t="inlineStr">
        <is>
          <t>KPPBC TMP TANJUNG PRIOK</t>
        </is>
      </c>
      <c r="F26" s="2" t="inlineStr">
        <is>
          <t>PT KRA*** STEEL</t>
        </is>
      </c>
      <c r="G26" s="2" t="inlineStr">
        <is>
          <t>02.142.***.*-391.000</t>
        </is>
      </c>
      <c r="H26" s="2" t="inlineStr">
        <is>
          <t>01.813.***.*-233.000</t>
        </is>
      </c>
      <c r="I26" s="2" t="inlineStr">
        <is>
          <t>PT CIP*** SEGARA INTERNASIONAL</t>
        </is>
      </c>
      <c r="J26" s="2" t="inlineStr">
        <is>
          <t>MITSUBISHI CORPORATION RTM JAPAN LTD.</t>
        </is>
      </c>
      <c r="K26" s="2" t="inlineStr">
        <is>
          <t>India</t>
        </is>
      </c>
      <c r="L26" s="2" t="inlineStr">
        <is>
          <t>MITSUBISHI CORP BUYER INC.</t>
        </is>
      </c>
      <c r="M26" s="2" t="inlineStr">
        <is>
          <t>India</t>
        </is>
      </c>
      <c r="N26" s="2" t="inlineStr">
        <is>
          <t>India</t>
        </is>
      </c>
      <c r="O26" s="2" t="n">
        <v>1</v>
      </c>
      <c r="P26" s="2" t="inlineStr">
        <is>
          <t>7112920000</t>
        </is>
      </c>
      <c r="Q26" s="2" t="inlineStr">
        <is>
          <t>ELECTRONIC SCRAP CONTAINING GOLD</t>
        </is>
      </c>
      <c r="R26" s="2" t="n">
        <v>31500</v>
      </c>
      <c r="S26" s="2" t="inlineStr">
        <is>
          <t>KGM</t>
        </is>
      </c>
      <c r="T26" s="2" t="n">
        <v>31500</v>
      </c>
      <c r="U26" s="2" t="inlineStr">
        <is>
          <t>USD</t>
        </is>
      </c>
      <c r="V26" s="2" t="n">
        <v>15500</v>
      </c>
      <c r="W26" s="4" t="n">
        <v>48000</v>
      </c>
      <c r="X26" s="5" t="n">
        <v>0.075</v>
      </c>
      <c r="Y26" s="5" t="n">
        <v>55800000</v>
      </c>
      <c r="Z26" s="5" t="n">
        <v>11160000</v>
      </c>
      <c r="AA26" s="2" t="inlineStr">
        <is>
          <t>H</t>
        </is>
      </c>
      <c r="AB26" s="2" t="inlineStr">
        <is>
          <t>HIJAU</t>
        </is>
      </c>
      <c r="AC26" s="2" t="inlineStr">
        <is>
          <t>NPE</t>
        </is>
      </c>
      <c r="AD26" s="2" t="inlineStr">
        <is>
          <t>SELESAI (NPE)</t>
        </is>
      </c>
      <c r="AE26" s="2" t="inlineStr">
        <is>
          <t>INVOICE: SLMMMC2026-01 (Tgl: 2026-09-06)</t>
        </is>
      </c>
    </row>
    <row r="27">
      <c r="A27" s="2" t="inlineStr">
        <is>
          <t>07000000022220260922100026</t>
        </is>
      </c>
      <c r="B27" s="2" t="inlineStr">
        <is>
          <t>006951</t>
        </is>
      </c>
      <c r="C27" s="3" t="inlineStr">
        <is>
          <t>2026-09-22</t>
        </is>
      </c>
      <c r="D27" s="2" t="inlineStr">
        <is>
          <t>KPPBC TMP SOEKARNO HATTA</t>
        </is>
      </c>
      <c r="E27" s="2" t="inlineStr">
        <is>
          <t>KPPBC TMP TANJUNG PERAK</t>
        </is>
      </c>
      <c r="F27" s="2" t="inlineStr">
        <is>
          <t>PT MAY*** INDAH TBK</t>
        </is>
      </c>
      <c r="G27" s="2" t="inlineStr">
        <is>
          <t>09.121.***.*-289.000</t>
        </is>
      </c>
      <c r="H27" s="2" t="inlineStr">
        <is>
          <t>01.813.***.*-364.000</t>
        </is>
      </c>
      <c r="I27" s="2" t="inlineStr">
        <is>
          <t>PT CIP*** SEGARA INTERNASIONAL</t>
        </is>
      </c>
      <c r="J27" s="2" t="inlineStr">
        <is>
          <t>MITSUBISHI CORPORATION RTM JAPAN LTD.</t>
        </is>
      </c>
      <c r="K27" s="2" t="inlineStr">
        <is>
          <t>Australia</t>
        </is>
      </c>
      <c r="L27" s="2" t="inlineStr">
        <is>
          <t>MITSUBISHI CORP BUYER INC.</t>
        </is>
      </c>
      <c r="M27" s="2" t="inlineStr">
        <is>
          <t>Australia</t>
        </is>
      </c>
      <c r="N27" s="2" t="inlineStr">
        <is>
          <t>Australia</t>
        </is>
      </c>
      <c r="O27" s="2" t="n">
        <v>1</v>
      </c>
      <c r="P27" s="2" t="inlineStr">
        <is>
          <t>7112999000</t>
        </is>
      </c>
      <c r="Q27" s="2" t="inlineStr">
        <is>
          <t>ANODE SLIME (HASIL PEMURNIAN TEMBAGA)</t>
        </is>
      </c>
      <c r="R27" s="2" t="n">
        <v>10650</v>
      </c>
      <c r="S27" s="2" t="inlineStr">
        <is>
          <t>KGM</t>
        </is>
      </c>
      <c r="T27" s="2" t="n">
        <v>10650</v>
      </c>
      <c r="U27" s="2" t="inlineStr">
        <is>
          <t>USD</t>
        </is>
      </c>
      <c r="V27" s="2" t="n">
        <v>15500</v>
      </c>
      <c r="W27" s="4" t="n">
        <v>310000</v>
      </c>
      <c r="X27" s="5" t="n">
        <v>0.15</v>
      </c>
      <c r="Y27" s="5" t="n">
        <v>720750000</v>
      </c>
      <c r="Z27" s="5" t="n">
        <v>72075000</v>
      </c>
      <c r="AA27" s="2" t="inlineStr">
        <is>
          <t>H</t>
        </is>
      </c>
      <c r="AB27" s="2" t="inlineStr">
        <is>
          <t>HIJAU</t>
        </is>
      </c>
      <c r="AC27" s="2" t="inlineStr">
        <is>
          <t>NPE</t>
        </is>
      </c>
      <c r="AD27" s="2" t="inlineStr">
        <is>
          <t>SELESAI (NPE)</t>
        </is>
      </c>
      <c r="AE27" s="2" t="inlineStr">
        <is>
          <t>INVOICE: SLMMMC2026-01 (Tgl: 2026-09-22)</t>
        </is>
      </c>
    </row>
    <row r="28">
      <c r="A28" s="2" t="inlineStr">
        <is>
          <t>07000000022220260917100027</t>
        </is>
      </c>
      <c r="B28" s="2" t="inlineStr">
        <is>
          <t>001886</t>
        </is>
      </c>
      <c r="C28" s="3" t="inlineStr">
        <is>
          <t>2026-09-17</t>
        </is>
      </c>
      <c r="D28" s="2" t="inlineStr">
        <is>
          <t>KPPBC TMP BELAWAN</t>
        </is>
      </c>
      <c r="E28" s="2" t="inlineStr">
        <is>
          <t>KPPBC TMP TANJUNG PRIOK</t>
        </is>
      </c>
      <c r="F28" s="2" t="inlineStr">
        <is>
          <t>PT KRA*** STEEL</t>
        </is>
      </c>
      <c r="G28" s="2" t="inlineStr">
        <is>
          <t>04.102.***.*-905.000</t>
        </is>
      </c>
      <c r="H28" s="2" t="inlineStr">
        <is>
          <t>01.813.***.*-149.000</t>
        </is>
      </c>
      <c r="I28" s="2" t="inlineStr">
        <is>
          <t>PT CIP*** SEGARA INTERNASIONAL</t>
        </is>
      </c>
      <c r="J28" s="2" t="inlineStr">
        <is>
          <t>MITSUBISHI CORPORATION RTM JAPAN LTD.</t>
        </is>
      </c>
      <c r="K28" s="2" t="inlineStr">
        <is>
          <t>Singapura</t>
        </is>
      </c>
      <c r="L28" s="2" t="inlineStr">
        <is>
          <t>MITSUBISHI CORP BUYER INC.</t>
        </is>
      </c>
      <c r="M28" s="2" t="inlineStr">
        <is>
          <t>Singapura</t>
        </is>
      </c>
      <c r="N28" s="2" t="inlineStr">
        <is>
          <t>Singapura</t>
        </is>
      </c>
      <c r="O28" s="2" t="n">
        <v>1</v>
      </c>
      <c r="P28" s="2" t="inlineStr">
        <is>
          <t>7112999000</t>
        </is>
      </c>
      <c r="Q28" s="2" t="inlineStr">
        <is>
          <t>WASTE AND SCRAP OF PRECIOUS METAL</t>
        </is>
      </c>
      <c r="R28" s="2" t="n">
        <v>10650</v>
      </c>
      <c r="S28" s="2" t="inlineStr">
        <is>
          <t>KGM</t>
        </is>
      </c>
      <c r="T28" s="2" t="n">
        <v>10650</v>
      </c>
      <c r="U28" s="2" t="inlineStr">
        <is>
          <t>USD</t>
        </is>
      </c>
      <c r="V28" s="2" t="n">
        <v>15500</v>
      </c>
      <c r="W28" s="4" t="n">
        <v>520000</v>
      </c>
      <c r="X28" s="5" t="n">
        <v>0.15</v>
      </c>
      <c r="Y28" s="5" t="n">
        <v>0</v>
      </c>
      <c r="Z28" s="5" t="n">
        <v>0</v>
      </c>
      <c r="AA28" s="2" t="inlineStr">
        <is>
          <t>M</t>
        </is>
      </c>
      <c r="AB28" s="2" t="inlineStr">
        <is>
          <t>MERAH</t>
        </is>
      </c>
      <c r="AC28" s="2" t="inlineStr">
        <is>
          <t>NPE</t>
        </is>
      </c>
      <c r="AD28" s="2" t="inlineStr">
        <is>
          <t>SELESAI (NPE)</t>
        </is>
      </c>
      <c r="AE28" s="2" t="inlineStr">
        <is>
          <t>INVOICE: SLMMMC2026-01 (Tgl: 2026-09-17)</t>
        </is>
      </c>
    </row>
    <row r="29">
      <c r="A29" s="2" t="inlineStr">
        <is>
          <t>07000000022220260918100028</t>
        </is>
      </c>
      <c r="B29" s="2" t="inlineStr">
        <is>
          <t>007773</t>
        </is>
      </c>
      <c r="C29" s="3" t="inlineStr">
        <is>
          <t>2026-09-18</t>
        </is>
      </c>
      <c r="D29" s="2" t="inlineStr">
        <is>
          <t>KPPBC TMP TANJUNG PERAK</t>
        </is>
      </c>
      <c r="E29" s="2" t="inlineStr">
        <is>
          <t>KPPBC TMP TANJUNG PRIOK</t>
        </is>
      </c>
      <c r="F29" s="2" t="inlineStr">
        <is>
          <t>PT UNI*** INDONESIA</t>
        </is>
      </c>
      <c r="G29" s="2" t="inlineStr">
        <is>
          <t>01.410.***.*-522.000</t>
        </is>
      </c>
      <c r="H29" s="2" t="inlineStr">
        <is>
          <t>01.813.***.*-620.000</t>
        </is>
      </c>
      <c r="I29" s="2" t="inlineStr">
        <is>
          <t>PT CIP*** SEGARA INTERNASIONAL</t>
        </is>
      </c>
      <c r="J29" s="2" t="inlineStr">
        <is>
          <t>MITSUBISHI CORPORATION RTM JAPAN LTD.</t>
        </is>
      </c>
      <c r="K29" s="2" t="inlineStr">
        <is>
          <t>Tiongkok</t>
        </is>
      </c>
      <c r="L29" s="2" t="inlineStr">
        <is>
          <t>MITSUBISHI CORP BUYER INC.</t>
        </is>
      </c>
      <c r="M29" s="2" t="inlineStr">
        <is>
          <t>Tiongkok</t>
        </is>
      </c>
      <c r="N29" s="2" t="inlineStr">
        <is>
          <t>Tiongkok</t>
        </is>
      </c>
      <c r="O29" s="2" t="n">
        <v>1</v>
      </c>
      <c r="P29" s="2" t="inlineStr">
        <is>
          <t>7112999000</t>
        </is>
      </c>
      <c r="Q29" s="2" t="inlineStr">
        <is>
          <t>ELECTRONIC SCRAP CONTAINING GOLD</t>
        </is>
      </c>
      <c r="R29" s="2" t="n">
        <v>10650</v>
      </c>
      <c r="S29" s="2" t="inlineStr">
        <is>
          <t>KGM</t>
        </is>
      </c>
      <c r="T29" s="2" t="n">
        <v>10650</v>
      </c>
      <c r="U29" s="2" t="inlineStr">
        <is>
          <t>USD</t>
        </is>
      </c>
      <c r="V29" s="2" t="n">
        <v>15500</v>
      </c>
      <c r="W29" s="4" t="n">
        <v>240000</v>
      </c>
      <c r="X29" s="5" t="n">
        <v>0.1</v>
      </c>
      <c r="Y29" s="5" t="n">
        <v>372000000</v>
      </c>
      <c r="Z29" s="5" t="n">
        <v>55800000</v>
      </c>
      <c r="AA29" s="2" t="inlineStr">
        <is>
          <t>K</t>
        </is>
      </c>
      <c r="AB29" s="2" t="inlineStr">
        <is>
          <t>KUNING</t>
        </is>
      </c>
      <c r="AC29" s="2" t="inlineStr">
        <is>
          <t>NPE</t>
        </is>
      </c>
      <c r="AD29" s="2" t="inlineStr">
        <is>
          <t>SELESAI (NPE)</t>
        </is>
      </c>
      <c r="AE29" s="2" t="inlineStr">
        <is>
          <t>INVOICE: SLMMMC2026-01 (Tgl: 2026-09-18)</t>
        </is>
      </c>
    </row>
    <row r="30">
      <c r="A30" s="2" t="inlineStr">
        <is>
          <t>07000000022220260805100029</t>
        </is>
      </c>
      <c r="B30" s="2" t="inlineStr">
        <is>
          <t>007621</t>
        </is>
      </c>
      <c r="C30" s="3" t="inlineStr">
        <is>
          <t>2026-08-05</t>
        </is>
      </c>
      <c r="D30" s="2" t="inlineStr">
        <is>
          <t>KPPBC TMP SOEKARNO HATTA</t>
        </is>
      </c>
      <c r="E30" s="2" t="inlineStr">
        <is>
          <t>KPPBC TMP TANJUNG PERAK</t>
        </is>
      </c>
      <c r="F30" s="2" t="inlineStr">
        <is>
          <t>PT KAL*** FARMA TBK</t>
        </is>
      </c>
      <c r="G30" s="2" t="inlineStr">
        <is>
          <t>08.716.***.*-231.000</t>
        </is>
      </c>
      <c r="H30" s="2" t="inlineStr">
        <is>
          <t>01.813.***.*-597.000</t>
        </is>
      </c>
      <c r="I30" s="2" t="inlineStr">
        <is>
          <t>PT CIP*** SEGARA INTERNASIONAL</t>
        </is>
      </c>
      <c r="J30" s="2" t="inlineStr">
        <is>
          <t>MITSUBISHI CORPORATION RTM JAPAN LTD.</t>
        </is>
      </c>
      <c r="K30" s="2" t="inlineStr">
        <is>
          <t>Singapura</t>
        </is>
      </c>
      <c r="L30" s="2" t="inlineStr">
        <is>
          <t>MITSUBISHI CORP BUYER INC.</t>
        </is>
      </c>
      <c r="M30" s="2" t="inlineStr">
        <is>
          <t>Singapura</t>
        </is>
      </c>
      <c r="N30" s="2" t="inlineStr">
        <is>
          <t>Singapura</t>
        </is>
      </c>
      <c r="O30" s="2" t="n">
        <v>1</v>
      </c>
      <c r="P30" s="2" t="inlineStr">
        <is>
          <t>7112999000</t>
        </is>
      </c>
      <c r="Q30" s="2" t="inlineStr">
        <is>
          <t>WASTE AND SCRAP OF PRECIOUS METAL</t>
        </is>
      </c>
      <c r="R30" s="2" t="n">
        <v>31500</v>
      </c>
      <c r="S30" s="2" t="inlineStr">
        <is>
          <t>KGM</t>
        </is>
      </c>
      <c r="T30" s="2" t="n">
        <v>31500</v>
      </c>
      <c r="U30" s="2" t="inlineStr">
        <is>
          <t>USD</t>
        </is>
      </c>
      <c r="V30" s="2" t="n">
        <v>15500</v>
      </c>
      <c r="W30" s="4" t="n">
        <v>185000</v>
      </c>
      <c r="X30" s="5" t="n">
        <v>0.1</v>
      </c>
      <c r="Y30" s="5" t="n">
        <v>0</v>
      </c>
      <c r="Z30" s="5" t="n">
        <v>0</v>
      </c>
      <c r="AA30" s="2" t="inlineStr">
        <is>
          <t>M</t>
        </is>
      </c>
      <c r="AB30" s="2" t="inlineStr">
        <is>
          <t>MERAH</t>
        </is>
      </c>
      <c r="AC30" s="2" t="inlineStr">
        <is>
          <t>NPE</t>
        </is>
      </c>
      <c r="AD30" s="2" t="inlineStr">
        <is>
          <t>SELESAI (NPE)</t>
        </is>
      </c>
      <c r="AE30" s="2" t="inlineStr">
        <is>
          <t>INVOICE: SLMMMC2026-01 (Tgl: 2026-08-05)</t>
        </is>
      </c>
    </row>
    <row r="31">
      <c r="A31" s="2" t="inlineStr">
        <is>
          <t>07000000022220260713100030</t>
        </is>
      </c>
      <c r="B31" s="2" t="inlineStr">
        <is>
          <t>003562</t>
        </is>
      </c>
      <c r="C31" s="3" t="inlineStr">
        <is>
          <t>2026-07-13</t>
        </is>
      </c>
      <c r="D31" s="2" t="inlineStr">
        <is>
          <t>KPPBC TMP TANJUNG PERAK</t>
        </is>
      </c>
      <c r="E31" s="2" t="inlineStr">
        <is>
          <t>KPPBC TMP TANJUNG PRIOK</t>
        </is>
      </c>
      <c r="F31" s="2" t="inlineStr">
        <is>
          <t>PT UNI*** INDONESIA</t>
        </is>
      </c>
      <c r="G31" s="2" t="inlineStr">
        <is>
          <t>07.511.***.*-519.000</t>
        </is>
      </c>
      <c r="H31" s="2" t="inlineStr">
        <is>
          <t>01.813.***.*-589.000</t>
        </is>
      </c>
      <c r="I31" s="2" t="inlineStr">
        <is>
          <t>PT CIP*** SEGARA INTERNASIONAL</t>
        </is>
      </c>
      <c r="J31" s="2" t="inlineStr">
        <is>
          <t>MITSUBISHI CORPORATION RTM JAPAN LTD.</t>
        </is>
      </c>
      <c r="K31" s="2" t="inlineStr">
        <is>
          <t>Amerika Serikat</t>
        </is>
      </c>
      <c r="L31" s="2" t="inlineStr">
        <is>
          <t>MITSUBISHI CORP BUYER INC.</t>
        </is>
      </c>
      <c r="M31" s="2" t="inlineStr">
        <is>
          <t>Amerika Serikat</t>
        </is>
      </c>
      <c r="N31" s="2" t="inlineStr">
        <is>
          <t>Amerika Serikat</t>
        </is>
      </c>
      <c r="O31" s="2" t="n">
        <v>1</v>
      </c>
      <c r="P31" s="2" t="inlineStr">
        <is>
          <t>7112999000</t>
        </is>
      </c>
      <c r="Q31" s="2" t="inlineStr">
        <is>
          <t>WASTE AND SCRAP OF PRECIOUS METAL</t>
        </is>
      </c>
      <c r="R31" s="2" t="n">
        <v>22000</v>
      </c>
      <c r="S31" s="2" t="inlineStr">
        <is>
          <t>KGM</t>
        </is>
      </c>
      <c r="T31" s="2" t="n">
        <v>22000</v>
      </c>
      <c r="U31" s="2" t="inlineStr">
        <is>
          <t>USD</t>
        </is>
      </c>
      <c r="V31" s="2" t="n">
        <v>15500</v>
      </c>
      <c r="W31" s="4" t="n">
        <v>240000</v>
      </c>
      <c r="X31" s="5" t="n">
        <v>0.05</v>
      </c>
      <c r="Y31" s="5" t="n">
        <v>0</v>
      </c>
      <c r="Z31" s="5" t="n">
        <v>0</v>
      </c>
      <c r="AA31" s="2" t="inlineStr">
        <is>
          <t>M</t>
        </is>
      </c>
      <c r="AB31" s="2" t="inlineStr">
        <is>
          <t>MERAH</t>
        </is>
      </c>
      <c r="AC31" s="2" t="inlineStr">
        <is>
          <t>NPE</t>
        </is>
      </c>
      <c r="AD31" s="2" t="inlineStr">
        <is>
          <t>SELESAI (NPE)</t>
        </is>
      </c>
      <c r="AE31" s="2" t="inlineStr">
        <is>
          <t>INVOICE: SLMMMC2026-01 (Tgl: 2026-07-13)</t>
        </is>
      </c>
    </row>
    <row r="32">
      <c r="A32" s="2" t="inlineStr">
        <is>
          <t>07000000022220260806100031</t>
        </is>
      </c>
      <c r="B32" s="2" t="inlineStr">
        <is>
          <t>003354</t>
        </is>
      </c>
      <c r="C32" s="3" t="inlineStr">
        <is>
          <t>2026-08-06</t>
        </is>
      </c>
      <c r="D32" s="2" t="inlineStr">
        <is>
          <t>KPPBC TMP SOEKARNO HATTA</t>
        </is>
      </c>
      <c r="E32" s="2" t="inlineStr">
        <is>
          <t>KPPBC TMP TANJUNG PRIOK</t>
        </is>
      </c>
      <c r="F32" s="2" t="inlineStr">
        <is>
          <t>PT MAY*** INDAH TBK</t>
        </is>
      </c>
      <c r="G32" s="2" t="inlineStr">
        <is>
          <t>08.563.***.*-290.000</t>
        </is>
      </c>
      <c r="H32" s="2" t="inlineStr">
        <is>
          <t>01.813.***.*-856.000</t>
        </is>
      </c>
      <c r="I32" s="2" t="inlineStr">
        <is>
          <t>PT CIP*** SEGARA INTERNASIONAL</t>
        </is>
      </c>
      <c r="J32" s="2" t="inlineStr">
        <is>
          <t>MITSUBISHI CORPORATION RTM JAPAN LTD.</t>
        </is>
      </c>
      <c r="K32" s="2" t="inlineStr">
        <is>
          <t>Australia</t>
        </is>
      </c>
      <c r="L32" s="2" t="inlineStr">
        <is>
          <t>MITSUBISHI CORP BUYER INC.</t>
        </is>
      </c>
      <c r="M32" s="2" t="inlineStr">
        <is>
          <t>Australia</t>
        </is>
      </c>
      <c r="N32" s="2" t="inlineStr">
        <is>
          <t>Australia</t>
        </is>
      </c>
      <c r="O32" s="2" t="n">
        <v>1</v>
      </c>
      <c r="P32" s="2" t="inlineStr">
        <is>
          <t>7112300000</t>
        </is>
      </c>
      <c r="Q32" s="2" t="inlineStr">
        <is>
          <t>WASTE AND SCRAP OF PRECIOUS METAL</t>
        </is>
      </c>
      <c r="R32" s="2" t="n">
        <v>15400</v>
      </c>
      <c r="S32" s="2" t="inlineStr">
        <is>
          <t>KGM</t>
        </is>
      </c>
      <c r="T32" s="2" t="n">
        <v>15400</v>
      </c>
      <c r="U32" s="2" t="inlineStr">
        <is>
          <t>USD</t>
        </is>
      </c>
      <c r="V32" s="2" t="n">
        <v>15500</v>
      </c>
      <c r="W32" s="4" t="n">
        <v>75000</v>
      </c>
      <c r="X32" s="5" t="n">
        <v>0.15</v>
      </c>
      <c r="Y32" s="5" t="n">
        <v>174375000</v>
      </c>
      <c r="Z32" s="5" t="n">
        <v>17437500</v>
      </c>
      <c r="AA32" s="2" t="inlineStr">
        <is>
          <t>M</t>
        </is>
      </c>
      <c r="AB32" s="2" t="inlineStr">
        <is>
          <t>MERAH</t>
        </is>
      </c>
      <c r="AC32" s="2" t="inlineStr">
        <is>
          <t>NPE</t>
        </is>
      </c>
      <c r="AD32" s="2" t="inlineStr">
        <is>
          <t>SELESAI (NPE)</t>
        </is>
      </c>
      <c r="AE32" s="2" t="inlineStr">
        <is>
          <t>INVOICE: SLMMMC2026-01 (Tgl: 2026-08-06)</t>
        </is>
      </c>
    </row>
    <row r="33">
      <c r="A33" s="2" t="inlineStr">
        <is>
          <t>07000000022220260901100032</t>
        </is>
      </c>
      <c r="B33" s="2" t="inlineStr">
        <is>
          <t>004608</t>
        </is>
      </c>
      <c r="C33" s="3" t="inlineStr">
        <is>
          <t>2026-09-01</t>
        </is>
      </c>
      <c r="D33" s="2" t="inlineStr">
        <is>
          <t>KPPBC TMP BELAWAN</t>
        </is>
      </c>
      <c r="E33" s="2" t="inlineStr">
        <is>
          <t>KPPBC TMP BELAWAN</t>
        </is>
      </c>
      <c r="F33" s="2" t="inlineStr">
        <is>
          <t>PT UNI*** INDONESIA</t>
        </is>
      </c>
      <c r="G33" s="2" t="inlineStr">
        <is>
          <t>04.838.***.*-584.000</t>
        </is>
      </c>
      <c r="H33" s="2" t="inlineStr">
        <is>
          <t>01.813.***.*-481.000</t>
        </is>
      </c>
      <c r="I33" s="2" t="inlineStr">
        <is>
          <t>PT CIP*** SEGARA INTERNASIONAL</t>
        </is>
      </c>
      <c r="J33" s="2" t="inlineStr">
        <is>
          <t>MITSUBISHI CORPORATION RTM JAPAN LTD.</t>
        </is>
      </c>
      <c r="K33" s="2" t="inlineStr">
        <is>
          <t>Tiongkok</t>
        </is>
      </c>
      <c r="L33" s="2" t="inlineStr">
        <is>
          <t>MITSUBISHI CORP BUYER INC.</t>
        </is>
      </c>
      <c r="M33" s="2" t="inlineStr">
        <is>
          <t>Tiongkok</t>
        </is>
      </c>
      <c r="N33" s="2" t="inlineStr">
        <is>
          <t>Tiongkok</t>
        </is>
      </c>
      <c r="O33" s="2" t="n">
        <v>1</v>
      </c>
      <c r="P33" s="2" t="inlineStr">
        <is>
          <t>7112920000</t>
        </is>
      </c>
      <c r="Q33" s="2" t="inlineStr">
        <is>
          <t>ELECTRONIC SCRAP CONTAINING GOLD</t>
        </is>
      </c>
      <c r="R33" s="2" t="n">
        <v>10650</v>
      </c>
      <c r="S33" s="2" t="inlineStr">
        <is>
          <t>KGM</t>
        </is>
      </c>
      <c r="T33" s="2" t="n">
        <v>10650</v>
      </c>
      <c r="U33" s="2" t="inlineStr">
        <is>
          <t>USD</t>
        </is>
      </c>
      <c r="V33" s="2" t="n">
        <v>15500</v>
      </c>
      <c r="W33" s="4" t="n">
        <v>120000</v>
      </c>
      <c r="X33" s="5" t="n">
        <v>0.05</v>
      </c>
      <c r="Y33" s="5" t="n">
        <v>93000000</v>
      </c>
      <c r="Z33" s="5" t="n">
        <v>27900000</v>
      </c>
      <c r="AA33" s="2" t="inlineStr">
        <is>
          <t>M</t>
        </is>
      </c>
      <c r="AB33" s="2" t="inlineStr">
        <is>
          <t>MERAH</t>
        </is>
      </c>
      <c r="AC33" s="2" t="inlineStr">
        <is>
          <t>NPE</t>
        </is>
      </c>
      <c r="AD33" s="2" t="inlineStr">
        <is>
          <t>SELESAI (NPE)</t>
        </is>
      </c>
      <c r="AE33" s="2" t="inlineStr">
        <is>
          <t>INVOICE: SLMMMC2026-01 (Tgl: 2026-09-01)</t>
        </is>
      </c>
    </row>
    <row r="34">
      <c r="A34" s="2" t="inlineStr">
        <is>
          <t>07000000022220260819100033</t>
        </is>
      </c>
      <c r="B34" s="2" t="inlineStr">
        <is>
          <t>006958</t>
        </is>
      </c>
      <c r="C34" s="3" t="inlineStr">
        <is>
          <t>2026-08-19</t>
        </is>
      </c>
      <c r="D34" s="2" t="inlineStr">
        <is>
          <t>KPPBC TMP BELAWAN</t>
        </is>
      </c>
      <c r="E34" s="2" t="inlineStr">
        <is>
          <t>KPPBC TMP TANJUNG PERAK</t>
        </is>
      </c>
      <c r="F34" s="2" t="inlineStr">
        <is>
          <t>PT IND*** CBP MAKMUR</t>
        </is>
      </c>
      <c r="G34" s="2" t="inlineStr">
        <is>
          <t>09.866.***.*-997.000</t>
        </is>
      </c>
      <c r="H34" s="2" t="inlineStr">
        <is>
          <t>01.813.***.*-810.000</t>
        </is>
      </c>
      <c r="I34" s="2" t="inlineStr">
        <is>
          <t>PT CIP*** SEGARA INTERNASIONAL</t>
        </is>
      </c>
      <c r="J34" s="2" t="inlineStr">
        <is>
          <t>MITSUBISHI CORPORATION RTM JAPAN LTD.</t>
        </is>
      </c>
      <c r="K34" s="2" t="inlineStr">
        <is>
          <t>Jepang</t>
        </is>
      </c>
      <c r="L34" s="2" t="inlineStr">
        <is>
          <t>MITSUBISHI CORP BUYER INC.</t>
        </is>
      </c>
      <c r="M34" s="2" t="inlineStr">
        <is>
          <t>Jepang</t>
        </is>
      </c>
      <c r="N34" s="2" t="inlineStr">
        <is>
          <t>Jepang</t>
        </is>
      </c>
      <c r="O34" s="2" t="n">
        <v>1</v>
      </c>
      <c r="P34" s="2" t="inlineStr">
        <is>
          <t>7112300000</t>
        </is>
      </c>
      <c r="Q34" s="2" t="inlineStr">
        <is>
          <t>SILVER CHAIN SCRAPS</t>
        </is>
      </c>
      <c r="R34" s="2" t="n">
        <v>15400</v>
      </c>
      <c r="S34" s="2" t="inlineStr">
        <is>
          <t>KGM</t>
        </is>
      </c>
      <c r="T34" s="2" t="n">
        <v>15400</v>
      </c>
      <c r="U34" s="2" t="inlineStr">
        <is>
          <t>USD</t>
        </is>
      </c>
      <c r="V34" s="2" t="n">
        <v>15500</v>
      </c>
      <c r="W34" s="4" t="n">
        <v>310000</v>
      </c>
      <c r="X34" s="5" t="n">
        <v>0.1</v>
      </c>
      <c r="Y34" s="5" t="n">
        <v>480500000</v>
      </c>
      <c r="Z34" s="5" t="n">
        <v>72075000</v>
      </c>
      <c r="AA34" s="2" t="inlineStr">
        <is>
          <t>H</t>
        </is>
      </c>
      <c r="AB34" s="2" t="inlineStr">
        <is>
          <t>HIJAU</t>
        </is>
      </c>
      <c r="AC34" s="2" t="inlineStr">
        <is>
          <t>NPE</t>
        </is>
      </c>
      <c r="AD34" s="2" t="inlineStr">
        <is>
          <t>SELESAI (NPE)</t>
        </is>
      </c>
      <c r="AE34" s="2" t="inlineStr">
        <is>
          <t>INVOICE: SLMMMC2026-01 (Tgl: 2026-08-19)</t>
        </is>
      </c>
    </row>
    <row r="35">
      <c r="A35" s="2" t="inlineStr">
        <is>
          <t>07000000022220260907100034</t>
        </is>
      </c>
      <c r="B35" s="2" t="inlineStr">
        <is>
          <t>001495</t>
        </is>
      </c>
      <c r="C35" s="3" t="inlineStr">
        <is>
          <t>2026-09-07</t>
        </is>
      </c>
      <c r="D35" s="2" t="inlineStr">
        <is>
          <t>KPPBC TMP BELAWAN</t>
        </is>
      </c>
      <c r="E35" s="2" t="inlineStr">
        <is>
          <t>KPPBC TMP BELAWAN</t>
        </is>
      </c>
      <c r="F35" s="2" t="inlineStr">
        <is>
          <t>PT UNI*** INDONESIA</t>
        </is>
      </c>
      <c r="G35" s="2" t="inlineStr">
        <is>
          <t>07.102.***.*-271.000</t>
        </is>
      </c>
      <c r="H35" s="2" t="inlineStr">
        <is>
          <t>01.813.***.*-987.000</t>
        </is>
      </c>
      <c r="I35" s="2" t="inlineStr">
        <is>
          <t>PT CIP*** SEGARA INTERNASIONAL</t>
        </is>
      </c>
      <c r="J35" s="2" t="inlineStr">
        <is>
          <t>MITSUBISHI CORPORATION RTM JAPAN LTD.</t>
        </is>
      </c>
      <c r="K35" s="2" t="inlineStr">
        <is>
          <t>Amerika Serikat</t>
        </is>
      </c>
      <c r="L35" s="2" t="inlineStr">
        <is>
          <t>MITSUBISHI CORP BUYER INC.</t>
        </is>
      </c>
      <c r="M35" s="2" t="inlineStr">
        <is>
          <t>Amerika Serikat</t>
        </is>
      </c>
      <c r="N35" s="2" t="inlineStr">
        <is>
          <t>Amerika Serikat</t>
        </is>
      </c>
      <c r="O35" s="2" t="n">
        <v>1</v>
      </c>
      <c r="P35" s="2" t="inlineStr">
        <is>
          <t>7112999000</t>
        </is>
      </c>
      <c r="Q35" s="2" t="inlineStr">
        <is>
          <t>ELECTRONIC SCRAP CONTAINING GOLD</t>
        </is>
      </c>
      <c r="R35" s="2" t="n">
        <v>31500</v>
      </c>
      <c r="S35" s="2" t="inlineStr">
        <is>
          <t>KGM</t>
        </is>
      </c>
      <c r="T35" s="2" t="n">
        <v>31500</v>
      </c>
      <c r="U35" s="2" t="inlineStr">
        <is>
          <t>USD</t>
        </is>
      </c>
      <c r="V35" s="2" t="n">
        <v>15500</v>
      </c>
      <c r="W35" s="4" t="n">
        <v>48000</v>
      </c>
      <c r="X35" s="5" t="n">
        <v>0.075</v>
      </c>
      <c r="Y35" s="5" t="n">
        <v>0</v>
      </c>
      <c r="Z35" s="5" t="n">
        <v>0</v>
      </c>
      <c r="AA35" s="2" t="inlineStr">
        <is>
          <t>H</t>
        </is>
      </c>
      <c r="AB35" s="2" t="inlineStr">
        <is>
          <t>HIJAU</t>
        </is>
      </c>
      <c r="AC35" s="2" t="inlineStr">
        <is>
          <t>NPE</t>
        </is>
      </c>
      <c r="AD35" s="2" t="inlineStr">
        <is>
          <t>SELESAI (NPE)</t>
        </is>
      </c>
      <c r="AE35" s="2" t="inlineStr">
        <is>
          <t>INVOICE: SLMMMC2026-01 (Tgl: 2026-09-07)</t>
        </is>
      </c>
    </row>
    <row r="36">
      <c r="A36" s="2" t="inlineStr">
        <is>
          <t>07000000022220260726100035</t>
        </is>
      </c>
      <c r="B36" s="2" t="inlineStr">
        <is>
          <t>008434</t>
        </is>
      </c>
      <c r="C36" s="3" t="inlineStr">
        <is>
          <t>2026-07-26</t>
        </is>
      </c>
      <c r="D36" s="2" t="inlineStr">
        <is>
          <t>KPPBC TMP TANJUNG PRIOK</t>
        </is>
      </c>
      <c r="E36" s="2" t="inlineStr">
        <is>
          <t>KPPBC TMP BELAWAN</t>
        </is>
      </c>
      <c r="F36" s="2" t="inlineStr">
        <is>
          <t>PT AST*** AGRO LESTARI</t>
        </is>
      </c>
      <c r="G36" s="2" t="inlineStr">
        <is>
          <t>02.686.***.*-281.000</t>
        </is>
      </c>
      <c r="H36" s="2" t="inlineStr">
        <is>
          <t>01.813.***.*-770.000</t>
        </is>
      </c>
      <c r="I36" s="2" t="inlineStr">
        <is>
          <t>PT CIP*** SEGARA INTERNASIONAL</t>
        </is>
      </c>
      <c r="J36" s="2" t="inlineStr">
        <is>
          <t>MITSUBISHI CORPORATION RTM JAPAN LTD.</t>
        </is>
      </c>
      <c r="K36" s="2" t="inlineStr">
        <is>
          <t>India</t>
        </is>
      </c>
      <c r="L36" s="2" t="inlineStr">
        <is>
          <t>MITSUBISHI CORP BUYER INC.</t>
        </is>
      </c>
      <c r="M36" s="2" t="inlineStr">
        <is>
          <t>India</t>
        </is>
      </c>
      <c r="N36" s="2" t="inlineStr">
        <is>
          <t>India</t>
        </is>
      </c>
      <c r="O36" s="2" t="n">
        <v>1</v>
      </c>
      <c r="P36" s="2" t="inlineStr">
        <is>
          <t>7112991000</t>
        </is>
      </c>
      <c r="Q36" s="2" t="inlineStr">
        <is>
          <t>WASTE AND SCRAP OF PRECIOUS METAL</t>
        </is>
      </c>
      <c r="R36" s="2" t="n">
        <v>15400</v>
      </c>
      <c r="S36" s="2" t="inlineStr">
        <is>
          <t>KGM</t>
        </is>
      </c>
      <c r="T36" s="2" t="n">
        <v>15400</v>
      </c>
      <c r="U36" s="2" t="inlineStr">
        <is>
          <t>USD</t>
        </is>
      </c>
      <c r="V36" s="2" t="n">
        <v>15500</v>
      </c>
      <c r="W36" s="4" t="n">
        <v>310000</v>
      </c>
      <c r="X36" s="5" t="n">
        <v>0.075</v>
      </c>
      <c r="Y36" s="5" t="n">
        <v>360375000</v>
      </c>
      <c r="Z36" s="5" t="n">
        <v>72075000</v>
      </c>
      <c r="AA36" s="2" t="inlineStr">
        <is>
          <t>M</t>
        </is>
      </c>
      <c r="AB36" s="2" t="inlineStr">
        <is>
          <t>MERAH</t>
        </is>
      </c>
      <c r="AC36" s="2" t="inlineStr">
        <is>
          <t>NPE</t>
        </is>
      </c>
      <c r="AD36" s="2" t="inlineStr">
        <is>
          <t>SELESAI (NPE)</t>
        </is>
      </c>
      <c r="AE36" s="2" t="inlineStr">
        <is>
          <t>INVOICE: SLMMMC2026-01 (Tgl: 2026-07-26)</t>
        </is>
      </c>
    </row>
    <row r="37">
      <c r="A37" s="6" t="inlineStr">
        <is>
          <t>TOTAL / SUB-TOTAL</t>
        </is>
      </c>
      <c r="B37" s="7">
        <f>SUBTOTAL(103, B2:B36)</f>
        <v/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9">
        <f>SUBTOTAL(109, O2:O36)</f>
        <v/>
      </c>
      <c r="P37" s="8" t="n"/>
      <c r="Q37" s="8" t="n"/>
      <c r="R37" s="9">
        <f>SUBTOTAL(109, R2:R36)</f>
        <v/>
      </c>
      <c r="S37" s="8" t="n"/>
      <c r="T37" s="9">
        <f>SUBTOTAL(109, T2:T36)</f>
        <v/>
      </c>
      <c r="U37" s="8" t="n"/>
      <c r="V37" s="9">
        <f>SUBTOTAL(109, V2:V36)</f>
        <v/>
      </c>
      <c r="W37" s="10">
        <f>SUBTOTAL(109, W2:W36)</f>
        <v/>
      </c>
      <c r="X37" s="11">
        <f>SUBTOTAL(101, X2:X36)</f>
        <v/>
      </c>
      <c r="Y37" s="12">
        <f>SUBTOTAL(109, Y2:Y36)</f>
        <v/>
      </c>
      <c r="Z37" s="12">
        <f>SUBTOTAL(109, Z2:Z36)</f>
        <v/>
      </c>
      <c r="AA37" s="8" t="n"/>
      <c r="AB37" s="8" t="n"/>
      <c r="AC37" s="8" t="n"/>
      <c r="AD37" s="8" t="n"/>
      <c r="AE37" s="8" t="n"/>
    </row>
  </sheetData>
  <autoFilter ref="A1:AE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13" t="inlineStr">
        <is>
          <t>LOG AUDIT &amp; PROVENANCE DATA PERMOHONAN</t>
        </is>
      </c>
    </row>
    <row r="3">
      <c r="A3" s="14" t="inlineStr">
        <is>
          <t>ID Dokumen Permohonan</t>
        </is>
      </c>
      <c r="B3" s="15" t="inlineStr">
        <is>
          <t>REQ-2026-BC-089</t>
        </is>
      </c>
    </row>
    <row r="4">
      <c r="A4" s="14" t="inlineStr">
        <is>
          <t>Judul Permohonan</t>
        </is>
      </c>
      <c r="B4" s="15" t="inlineStr">
        <is>
          <t>FORMULIR RESMI PERMOHONAN AKSES &amp; EKSTRAKSI DATA KEPABEANAN</t>
        </is>
      </c>
    </row>
    <row r="5">
      <c r="A5" s="14" t="inlineStr">
        <is>
          <t>Nama Pemohon</t>
        </is>
      </c>
      <c r="B5" s="15" t="inlineStr">
        <is>
          <t>Ahmad Fauzi, S.Kom</t>
        </is>
      </c>
    </row>
    <row r="6">
      <c r="A6" s="14" t="inlineStr">
        <is>
          <t>Unit Kerja / Divisi</t>
        </is>
      </c>
      <c r="B6" s="15" t="inlineStr">
        <is>
          <t>Internal Bea dan Cukai</t>
        </is>
      </c>
    </row>
    <row r="7">
      <c r="A7" s="14" t="inlineStr">
        <is>
          <t>Tipe Proses Bisnis</t>
        </is>
      </c>
      <c r="B7" s="15" t="inlineStr">
        <is>
          <t>Ekspor</t>
        </is>
      </c>
    </row>
    <row r="8">
      <c r="A8" s="14" t="inlineStr">
        <is>
          <t>Tujuan Penggunaan Data</t>
        </is>
      </c>
      <c r="B8" s="15" t="inlineStr">
        <is>
          <t>Data</t>
        </is>
      </c>
    </row>
    <row r="9">
      <c r="A9" s="14" t="inlineStr">
        <is>
          <t>Periode Data</t>
        </is>
      </c>
      <c r="B9" s="15" t="inlineStr">
        <is>
          <t>01 Juli 2026 s/d 30 September 2026</t>
        </is>
      </c>
    </row>
    <row r="10">
      <c r="A10" s="14" t="inlineStr">
        <is>
          <t>Katalog Sumber</t>
        </is>
      </c>
      <c r="B10" s="15" t="inlineStr">
        <is>
          <t>OpenMetadata Enterprise Catalog (Verified)</t>
        </is>
      </c>
    </row>
    <row r="11">
      <c r="A11" s="14" t="inlineStr">
        <is>
          <t>Status Verifikasi</t>
        </is>
      </c>
      <c r="B11" s="15" t="inlineStr">
        <is>
          <t>APPROVED (Agent-Independent-Auditor-v2)</t>
        </is>
      </c>
    </row>
    <row r="12">
      <c r="A12" s="14" t="inlineStr">
        <is>
          <t>Waktu Verifikasi</t>
        </is>
      </c>
      <c r="B12" s="15" t="inlineStr">
        <is>
          <t>2026-10-13T04:50:30.460650+00:00</t>
        </is>
      </c>
    </row>
    <row r="13">
      <c r="A13" s="14" t="inlineStr">
        <is>
          <t>Dasar Regulasi PDP</t>
        </is>
      </c>
      <c r="B13" s="15" t="inlineStr">
        <is>
          <t>UU No. 27/2022 jo. PP No. 33/2026 (LNRI 2026 No. 88)</t>
        </is>
      </c>
    </row>
    <row r="14">
      <c r="A14" s="14" t="inlineStr">
        <is>
          <t>Proteksi PII / PDP</t>
        </is>
      </c>
      <c r="B14" s="15" t="inlineStr">
        <is>
          <t>Aktif (Masking Dinamis NPWP, NIK, Nama, dan No HP - Ps. 123 PP 33/2026)</t>
        </is>
      </c>
    </row>
    <row r="15">
      <c r="A15" s="14" t="inlineStr">
        <is>
          <t>Masa Retensi Wajib</t>
        </is>
      </c>
      <c r="B15" s="15" t="inlineStr">
        <is>
          <t>Maksimal 30 hari kalender sejak penyerahan (Ps. 75 PP 33/2026)</t>
        </is>
      </c>
    </row>
    <row r="16">
      <c r="A16" s="14" t="inlineStr">
        <is>
          <t>Kewajiban Sanitasi / CoD</t>
        </is>
      </c>
      <c r="B16" s="15" t="inlineStr">
        <is>
          <t>Wajib cryptographic wipe &amp; menerbitkan Certificate of Destruction ke DIKC DJBC</t>
        </is>
      </c>
    </row>
    <row r="17">
      <c r="A17" s="14" t="inlineStr">
        <is>
          <t>Cryptographic Digital Fingerprint</t>
        </is>
      </c>
      <c r="B17" s="15" t="inlineStr">
        <is>
          <t>SHA256:b3fe4e4b138a369c7016421fcf6cfe171025504458ecc16300cd48b854cef48d</t>
        </is>
      </c>
    </row>
    <row r="19">
      <c r="A19" s="16" t="inlineStr">
        <is>
          <t>QUERY SQL YANG DIJALANKAN:</t>
        </is>
      </c>
    </row>
    <row r="20">
      <c r="A20" s="17" t="inlineStr">
        <is>
          <t>-- ====================================================================
-- Query Otomatis Dibuat oleh DataRequestStudio
-- Berdasarkan Dokumen: FORMULIR RESMI PERMOHONAN AKSES &amp; EKSTRAKSI DATA KEPABEANAN (ID: REQ-2026-BC-089)
-- Pemohon: Ahmad Fauzi, S.Kom (Internal Bea dan Cukai)
-- Metadata Divalidasi via: OpenMetadata Service CEISA40-PostgreSQL-DWH
-- Target Database: PostgreSQL
-- ====================================================================
SELECT
    t.nomor_peb,
    CONCAT(SUBSTRING(t.npwp_eksportir, 1, 6), '******', SUBSTRING(t.npwp_eksportir, LENGTH(t.npwp_eksportir)-3, 4)) AS npwp_eksportir_masked,
    t.nilai_devisa_idr,
    t.status_pabean
FROM dwh_ceisa.ekspor.fct_peb_ekspor AS t
INNER JOIN dwh_ceisa.fasilitas.dim_customers AS s
    ON fct_transactions.customer_id = s.customer_id
WHERE
    t.tanggal_peb &gt;= '01 Juli 2026 00:00:00'
  AND t.tanggal_peb &lt;= '30 September 2026 23:59:59'
  AND t.status_pabean = 'NPE'
  AND c.customer_segment = 'PRIORITAS'
ORDER BY
    t.tanggal_peb DESC
LIMIT 500;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70" customWidth="1" min="3" max="3"/>
    <col width="19" customWidth="1" min="4" max="4"/>
    <col width="40" customWidth="1" min="5" max="5"/>
  </cols>
  <sheetData>
    <row r="1">
      <c r="A1" s="18" t="inlineStr">
        <is>
          <t>Nama Kolom</t>
        </is>
      </c>
      <c r="B1" s="18" t="inlineStr">
        <is>
          <t>Tipe Data</t>
        </is>
      </c>
      <c r="C1" s="18" t="inlineStr">
        <is>
          <t>Deskripsi Resmi OpenMetadata</t>
        </is>
      </c>
      <c r="D1" s="18" t="inlineStr">
        <is>
          <t>Klasifikasi PII</t>
        </is>
      </c>
      <c r="E1" s="18" t="inlineStr">
        <is>
          <t>Tabel Sumber</t>
        </is>
      </c>
    </row>
    <row r="2">
      <c r="A2" s="19" t="inlineStr">
        <is>
          <t>nomor_aju</t>
        </is>
      </c>
      <c r="B2" t="inlineStr">
        <is>
          <t>VARCHAR(32)</t>
        </is>
      </c>
      <c r="C2" t="inlineStr">
        <is>
          <t>Nomor Pengajuan 26-digit Dokumen PEB BC 3.0</t>
        </is>
      </c>
      <c r="D2" t="inlineStr">
        <is>
          <t>NON-PII</t>
        </is>
      </c>
      <c r="E2" t="inlineStr">
        <is>
          <t>dwh_ceisa.ekspor.fct_peb_ekspor</t>
        </is>
      </c>
    </row>
    <row r="3">
      <c r="A3" s="19" t="inlineStr">
        <is>
          <t>nomor_daftar</t>
        </is>
      </c>
      <c r="B3" t="inlineStr">
        <is>
          <t>VARCHAR(16)</t>
        </is>
      </c>
      <c r="C3" t="inlineStr">
        <is>
          <t>Nomor Pendaftaran PEB / Nopen 6 digit</t>
        </is>
      </c>
      <c r="D3" t="inlineStr">
        <is>
          <t>NON-PII</t>
        </is>
      </c>
      <c r="E3" t="inlineStr">
        <is>
          <t>dwh_ceisa.ekspor.fct_peb_ekspor</t>
        </is>
      </c>
    </row>
    <row r="4">
      <c r="A4" s="19" t="inlineStr">
        <is>
          <t>nomor_peb</t>
        </is>
      </c>
      <c r="B4" t="inlineStr">
        <is>
          <t>VARCHAR(32)</t>
        </is>
      </c>
      <c r="C4" t="inlineStr">
        <is>
          <t>Nomor Pendaftaran PEB (nopen)</t>
        </is>
      </c>
      <c r="D4" t="inlineStr">
        <is>
          <t>NON-PII</t>
        </is>
      </c>
      <c r="E4" t="inlineStr">
        <is>
          <t>dwh_ceisa.ekspor.fct_peb_ekspor</t>
        </is>
      </c>
    </row>
    <row r="5">
      <c r="A5" s="19" t="inlineStr">
        <is>
          <t>tanggal_daftar</t>
        </is>
      </c>
      <c r="B5" t="inlineStr">
        <is>
          <t>TIMESTAMP</t>
        </is>
      </c>
      <c r="C5" t="inlineStr">
        <is>
          <t>Tanggal pendaftaran dokumen ekspor PEB</t>
        </is>
      </c>
      <c r="D5" t="inlineStr">
        <is>
          <t>NON-PII</t>
        </is>
      </c>
      <c r="E5" t="inlineStr">
        <is>
          <t>dwh_ceisa.ekspor.fct_peb_ekspor</t>
        </is>
      </c>
    </row>
    <row r="6">
      <c r="A6" s="19" t="inlineStr">
        <is>
          <t>tanggal_peb</t>
        </is>
      </c>
      <c r="B6" t="inlineStr">
        <is>
          <t>TIMESTAMP</t>
        </is>
      </c>
      <c r="C6" t="inlineStr">
        <is>
          <t>Tanggal pendaftaran dokumen ekspor</t>
        </is>
      </c>
      <c r="D6" t="inlineStr">
        <is>
          <t>NON-PII</t>
        </is>
      </c>
      <c r="E6" t="inlineStr">
        <is>
          <t>dwh_ceisa.ekspor.fct_peb_ekspor</t>
        </is>
      </c>
    </row>
    <row r="7">
      <c r="A7" s="19" t="inlineStr">
        <is>
          <t>kantor_ekspor</t>
        </is>
      </c>
      <c r="B7" t="inlineStr">
        <is>
          <t>VARCHAR(64)</t>
        </is>
      </c>
      <c r="C7" t="inlineStr">
        <is>
          <t>Kantor pabean pendaftaran ekspor (contoh: KPPBC TMP TANJUNG PERAK)</t>
        </is>
      </c>
      <c r="D7" t="inlineStr">
        <is>
          <t>NON-PII</t>
        </is>
      </c>
      <c r="E7" t="inlineStr">
        <is>
          <t>dwh_ceisa.ekspor.fct_peb_ekspor</t>
        </is>
      </c>
    </row>
    <row r="8">
      <c r="A8" s="19" t="inlineStr">
        <is>
          <t>kantor_muat</t>
        </is>
      </c>
      <c r="B8" t="inlineStr">
        <is>
          <t>VARCHAR(64)</t>
        </is>
      </c>
      <c r="C8" t="inlineStr">
        <is>
          <t>Kantor pabean pemuatan barang ekspor</t>
        </is>
      </c>
      <c r="D8" t="inlineStr">
        <is>
          <t>NON-PII</t>
        </is>
      </c>
      <c r="E8" t="inlineStr">
        <is>
          <t>dwh_ceisa.ekspor.fct_peb_ekspor</t>
        </is>
      </c>
    </row>
    <row r="9">
      <c r="A9" s="19" t="inlineStr">
        <is>
          <t>kode_kantor</t>
        </is>
      </c>
      <c r="B9" t="inlineStr">
        <is>
          <t>VARCHAR(8)</t>
        </is>
      </c>
      <c r="C9" t="inlineStr">
        <is>
          <t>Kode kantor pabean pemuatan (contoh: 040300 - Tanjung Priok)</t>
        </is>
      </c>
      <c r="D9" t="inlineStr">
        <is>
          <t>NON-PII</t>
        </is>
      </c>
      <c r="E9" t="inlineStr">
        <is>
          <t>dwh_ceisa.ekspor.fct_peb_ekspor</t>
        </is>
      </c>
    </row>
    <row r="10">
      <c r="A10" s="19" t="inlineStr">
        <is>
          <t>npwp_eksportir</t>
        </is>
      </c>
      <c r="B10" t="inlineStr">
        <is>
          <t>VARCHAR(20)</t>
        </is>
      </c>
      <c r="C10" t="inlineStr">
        <is>
          <t>NPWP 15/16 digit perusahaan eksportir</t>
        </is>
      </c>
      <c r="D10" t="inlineStr">
        <is>
          <t>SENSITIF (PII)</t>
        </is>
      </c>
      <c r="E10" t="inlineStr">
        <is>
          <t>dwh_ceisa.ekspor.fct_peb_ekspor</t>
        </is>
      </c>
    </row>
    <row r="11">
      <c r="A11" s="19" t="inlineStr">
        <is>
          <t>nama_eksportir</t>
        </is>
      </c>
      <c r="B11" t="inlineStr">
        <is>
          <t>VARCHAR(128)</t>
        </is>
      </c>
      <c r="C11" t="inlineStr">
        <is>
          <t>Nama entitas badan usaha eksportir</t>
        </is>
      </c>
      <c r="D11" t="inlineStr">
        <is>
          <t>SENSITIF (PII)</t>
        </is>
      </c>
      <c r="E11" t="inlineStr">
        <is>
          <t>dwh_ceisa.ekspor.fct_peb_ekspor</t>
        </is>
      </c>
    </row>
    <row r="12">
      <c r="A12" s="19" t="inlineStr">
        <is>
          <t>alamat_eksportir</t>
        </is>
      </c>
      <c r="B12" t="inlineStr">
        <is>
          <t>VARCHAR(256)</t>
        </is>
      </c>
      <c r="C12" t="inlineStr">
        <is>
          <t>Alamat domisili eksportir</t>
        </is>
      </c>
      <c r="D12" t="inlineStr">
        <is>
          <t>SENSITIF (PII)</t>
        </is>
      </c>
      <c r="E12" t="inlineStr">
        <is>
          <t>dwh_ceisa.ekspor.fct_peb_ekspor</t>
        </is>
      </c>
    </row>
    <row r="13">
      <c r="A13" s="19" t="inlineStr">
        <is>
          <t>npwp_ppjk</t>
        </is>
      </c>
      <c r="B13" t="inlineStr">
        <is>
          <t>VARCHAR(20)</t>
        </is>
      </c>
      <c r="C13" t="inlineStr">
        <is>
          <t>NPWP Perusahaan Pengurusan Jasa Kepabeanan</t>
        </is>
      </c>
      <c r="D13" t="inlineStr">
        <is>
          <t>SENSITIF (PII)</t>
        </is>
      </c>
      <c r="E13" t="inlineStr">
        <is>
          <t>dwh_ceisa.ekspor.fct_peb_ekspor</t>
        </is>
      </c>
    </row>
    <row r="14">
      <c r="A14" s="19" t="inlineStr">
        <is>
          <t>nama_ppjk</t>
        </is>
      </c>
      <c r="B14" t="inlineStr">
        <is>
          <t>VARCHAR(128)</t>
        </is>
      </c>
      <c r="C14" t="inlineStr">
        <is>
          <t>Nama entitas PPJK pengurus dokumen</t>
        </is>
      </c>
      <c r="D14" t="inlineStr">
        <is>
          <t>SENSITIF (PII)</t>
        </is>
      </c>
      <c r="E14" t="inlineStr">
        <is>
          <t>dwh_ceisa.ekspor.fct_peb_ekspor</t>
        </is>
      </c>
    </row>
    <row r="15">
      <c r="A15" s="19" t="inlineStr">
        <is>
          <t>nama_penerima</t>
        </is>
      </c>
      <c r="B15" t="inlineStr">
        <is>
          <t>VARCHAR(128)</t>
        </is>
      </c>
      <c r="C15" t="inlineStr">
        <is>
          <t>Nama entitas penerima barang di luar negeri (Consignee)</t>
        </is>
      </c>
      <c r="D15" t="inlineStr">
        <is>
          <t>NON-PII</t>
        </is>
      </c>
      <c r="E15" t="inlineStr">
        <is>
          <t>dwh_ceisa.ekspor.fct_peb_ekspor</t>
        </is>
      </c>
    </row>
    <row r="16">
      <c r="A16" s="19" t="inlineStr">
        <is>
          <t>negara_penerima</t>
        </is>
      </c>
      <c r="B16" t="inlineStr">
        <is>
          <t>VARCHAR(64)</t>
        </is>
      </c>
      <c r="C16" t="inlineStr">
        <is>
          <t>Negara domisili penerima barang</t>
        </is>
      </c>
      <c r="D16" t="inlineStr">
        <is>
          <t>NON-PII</t>
        </is>
      </c>
      <c r="E16" t="inlineStr">
        <is>
          <t>dwh_ceisa.ekspor.fct_peb_ekspor</t>
        </is>
      </c>
    </row>
    <row r="17">
      <c r="A17" s="19" t="inlineStr">
        <is>
          <t>nama_pembeli</t>
        </is>
      </c>
      <c r="B17" t="inlineStr">
        <is>
          <t>VARCHAR(128)</t>
        </is>
      </c>
      <c r="C17" t="inlineStr">
        <is>
          <t>Nama entitas pembeli di luar negeri (Buyer)</t>
        </is>
      </c>
      <c r="D17" t="inlineStr">
        <is>
          <t>NON-PII</t>
        </is>
      </c>
      <c r="E17" t="inlineStr">
        <is>
          <t>dwh_ceisa.ekspor.fct_peb_ekspor</t>
        </is>
      </c>
    </row>
    <row r="18">
      <c r="A18" s="19" t="inlineStr">
        <is>
          <t>negara_pembeli</t>
        </is>
      </c>
      <c r="B18" t="inlineStr">
        <is>
          <t>VARCHAR(64)</t>
        </is>
      </c>
      <c r="C18" t="inlineStr">
        <is>
          <t>Negara domisili pembeli</t>
        </is>
      </c>
      <c r="D18" t="inlineStr">
        <is>
          <t>NON-PII</t>
        </is>
      </c>
      <c r="E18" t="inlineStr">
        <is>
          <t>dwh_ceisa.ekspor.fct_peb_ekspor</t>
        </is>
      </c>
    </row>
    <row r="19">
      <c r="A19" s="19" t="inlineStr">
        <is>
          <t>negara_tujuan</t>
        </is>
      </c>
      <c r="B19" t="inlineStr">
        <is>
          <t>VARCHAR(64)</t>
        </is>
      </c>
      <c r="C19" t="inlineStr">
        <is>
          <t>Negara tujuan akhir ekspor barang</t>
        </is>
      </c>
      <c r="D19" t="inlineStr">
        <is>
          <t>NON-PII</t>
        </is>
      </c>
      <c r="E19" t="inlineStr">
        <is>
          <t>dwh_ceisa.ekspor.fct_peb_ekspor</t>
        </is>
      </c>
    </row>
    <row r="20">
      <c r="A20" s="19" t="inlineStr">
        <is>
          <t>seri_barang</t>
        </is>
      </c>
      <c r="B20" t="inlineStr">
        <is>
          <t>INTEGER</t>
        </is>
      </c>
      <c r="C20" t="inlineStr">
        <is>
          <t>Nomor urut seri barang ekspor</t>
        </is>
      </c>
      <c r="D20" t="inlineStr">
        <is>
          <t>NON-PII</t>
        </is>
      </c>
      <c r="E20" t="inlineStr">
        <is>
          <t>dwh_ceisa.ekspor.fct_peb_ekspor</t>
        </is>
      </c>
    </row>
    <row r="21">
      <c r="A21" s="19" t="inlineStr">
        <is>
          <t>kode_hs</t>
        </is>
      </c>
      <c r="B21" t="inlineStr">
        <is>
          <t>VARCHAR(16)</t>
        </is>
      </c>
      <c r="C21" t="inlineStr">
        <is>
          <t>Klasifikasi pos tarif 8/10 digit HS Code (contoh: 7112999000)</t>
        </is>
      </c>
      <c r="D21" t="inlineStr">
        <is>
          <t>NON-PII</t>
        </is>
      </c>
      <c r="E21" t="inlineStr">
        <is>
          <t>dwh_ceisa.ekspor.fct_peb_ekspor</t>
        </is>
      </c>
    </row>
    <row r="22">
      <c r="A22" s="19" t="inlineStr">
        <is>
          <t>uraian_barang</t>
        </is>
      </c>
      <c r="B22" t="inlineStr">
        <is>
          <t>VARCHAR(500)</t>
        </is>
      </c>
      <c r="C22" t="inlineStr">
        <is>
          <t>Uraian jenis dan spesifikasi komoditas barang ekspor</t>
        </is>
      </c>
      <c r="D22" t="inlineStr">
        <is>
          <t>NON-PII</t>
        </is>
      </c>
      <c r="E22" t="inlineStr">
        <is>
          <t>dwh_ceisa.ekspor.fct_peb_ekspor</t>
        </is>
      </c>
    </row>
    <row r="23">
      <c r="A23" s="19" t="inlineStr">
        <is>
          <t>jumlah_satuan</t>
        </is>
      </c>
      <c r="B23" t="inlineStr">
        <is>
          <t>NUMERIC(18,4)</t>
        </is>
      </c>
      <c r="C23" t="inlineStr">
        <is>
          <t>Jumlah kuantitas barang ekspor</t>
        </is>
      </c>
      <c r="D23" t="inlineStr">
        <is>
          <t>NON-PII</t>
        </is>
      </c>
      <c r="E23" t="inlineStr">
        <is>
          <t>dwh_ceisa.ekspor.fct_peb_ekspor</t>
        </is>
      </c>
    </row>
    <row r="24">
      <c r="A24" s="19" t="inlineStr">
        <is>
          <t>jenis_satuan</t>
        </is>
      </c>
      <c r="B24" t="inlineStr">
        <is>
          <t>VARCHAR(16)</t>
        </is>
      </c>
      <c r="C24" t="inlineStr">
        <is>
          <t>Satuan barang (KGM, PCS, TNE, dsb.)</t>
        </is>
      </c>
      <c r="D24" t="inlineStr">
        <is>
          <t>NON-PII</t>
        </is>
      </c>
      <c r="E24" t="inlineStr">
        <is>
          <t>dwh_ceisa.ekspor.fct_peb_ekspor</t>
        </is>
      </c>
    </row>
    <row r="25">
      <c r="A25" s="19" t="inlineStr">
        <is>
          <t>netto_barang</t>
        </is>
      </c>
      <c r="B25" t="inlineStr">
        <is>
          <t>NUMERIC(18,4)</t>
        </is>
      </c>
      <c r="C25" t="inlineStr">
        <is>
          <t>Berat bersih (Net Weight) barang (Kg)</t>
        </is>
      </c>
      <c r="D25" t="inlineStr">
        <is>
          <t>NON-PII</t>
        </is>
      </c>
      <c r="E25" t="inlineStr">
        <is>
          <t>dwh_ceisa.ekspor.fct_peb_ekspor</t>
        </is>
      </c>
    </row>
    <row r="26">
      <c r="A26" s="19" t="inlineStr">
        <is>
          <t>valuta</t>
        </is>
      </c>
      <c r="B26" t="inlineStr">
        <is>
          <t>VARCHAR(8)</t>
        </is>
      </c>
      <c r="C26" t="inlineStr">
        <is>
          <t>Kode valuta transaksi (USD, IDR, JPY, EUR)</t>
        </is>
      </c>
      <c r="D26" t="inlineStr">
        <is>
          <t>NON-PII</t>
        </is>
      </c>
      <c r="E26" t="inlineStr">
        <is>
          <t>dwh_ceisa.ekspor.fct_peb_ekspor</t>
        </is>
      </c>
    </row>
    <row r="27">
      <c r="A27" s="19" t="inlineStr">
        <is>
          <t>kurs</t>
        </is>
      </c>
      <c r="B27" t="inlineStr">
        <is>
          <t>NUMERIC(18,4)</t>
        </is>
      </c>
      <c r="C27" t="inlineStr">
        <is>
          <t>Nilai kurs Keputusan Menteri Keuangan (KMK)</t>
        </is>
      </c>
      <c r="D27" t="inlineStr">
        <is>
          <t>NON-PII</t>
        </is>
      </c>
      <c r="E27" t="inlineStr">
        <is>
          <t>dwh_ceisa.ekspor.fct_peb_ekspor</t>
        </is>
      </c>
    </row>
    <row r="28">
      <c r="A28" s="19" t="inlineStr">
        <is>
          <t>fob_barang</t>
        </is>
      </c>
      <c r="B28" t="inlineStr">
        <is>
          <t>NUMERIC(18,2)</t>
        </is>
      </c>
      <c r="C28" t="inlineStr">
        <is>
          <t>Nilai Free On Board (FOB) barang dalam valuta</t>
        </is>
      </c>
      <c r="D28" t="inlineStr">
        <is>
          <t>NON-PII</t>
        </is>
      </c>
      <c r="E28" t="inlineStr">
        <is>
          <t>dwh_ceisa.ekspor.fct_peb_ekspor</t>
        </is>
      </c>
    </row>
    <row r="29">
      <c r="A29" s="19" t="inlineStr">
        <is>
          <t>nilai_fob_usd</t>
        </is>
      </c>
      <c r="B29" t="inlineStr">
        <is>
          <t>NUMERIC(18,2)</t>
        </is>
      </c>
      <c r="C29" t="inlineStr">
        <is>
          <t>Nilai Free on Board dalam valuta USD</t>
        </is>
      </c>
      <c r="D29" t="inlineStr">
        <is>
          <t>NON-PII</t>
        </is>
      </c>
      <c r="E29" t="inlineStr">
        <is>
          <t>dwh_ceisa.ekspor.fct_peb_ekspor</t>
        </is>
      </c>
    </row>
    <row r="30">
      <c r="A30" s="19" t="inlineStr">
        <is>
          <t>nilai_devisa_idr</t>
        </is>
      </c>
      <c r="B30" t="inlineStr">
        <is>
          <t>NUMERIC(20,2)</t>
        </is>
      </c>
      <c r="C30" t="inlineStr">
        <is>
          <t>Nilai devisa hasil ekspor ekuivalen Rupiah</t>
        </is>
      </c>
      <c r="D30" t="inlineStr">
        <is>
          <t>NON-PII</t>
        </is>
      </c>
      <c r="E30" t="inlineStr">
        <is>
          <t>dwh_ceisa.ekspor.fct_peb_ekspor</t>
        </is>
      </c>
    </row>
    <row r="31">
      <c r="A31" s="19" t="inlineStr">
        <is>
          <t>tarif_bea_keluar</t>
        </is>
      </c>
      <c r="B31" t="inlineStr">
        <is>
          <t>NUMERIC(8,4)</t>
        </is>
      </c>
      <c r="C31" t="inlineStr">
        <is>
          <t>Tarif pungutan Bea Keluar ekspor (Advalorem % atau spesifik)</t>
        </is>
      </c>
      <c r="D31" t="inlineStr">
        <is>
          <t>NON-PII</t>
        </is>
      </c>
      <c r="E31" t="inlineStr">
        <is>
          <t>dwh_ceisa.ekspor.fct_peb_ekspor</t>
        </is>
      </c>
    </row>
    <row r="32">
      <c r="A32" s="19" t="inlineStr">
        <is>
          <t>bea_keluar_barang</t>
        </is>
      </c>
      <c r="B32" t="inlineStr">
        <is>
          <t>NUMERIC(18,2)</t>
        </is>
      </c>
      <c r="C32" t="inlineStr">
        <is>
          <t>Nominal pungutan Bea Keluar ekspor barang (Rupiah)</t>
        </is>
      </c>
      <c r="D32" t="inlineStr">
        <is>
          <t>NON-PII</t>
        </is>
      </c>
      <c r="E32" t="inlineStr">
        <is>
          <t>dwh_ceisa.ekspor.fct_peb_ekspor</t>
        </is>
      </c>
    </row>
    <row r="33">
      <c r="A33" s="19" t="inlineStr">
        <is>
          <t>pph_ekspor_peb</t>
        </is>
      </c>
      <c r="B33" t="inlineStr">
        <is>
          <t>NUMERIC(18,2)</t>
        </is>
      </c>
      <c r="C33" t="inlineStr">
        <is>
          <t>Pajak Penghasilan (PPh Pasal 22) Ekspor (Rupiah)</t>
        </is>
      </c>
      <c r="D33" t="inlineStr">
        <is>
          <t>NON-PII</t>
        </is>
      </c>
      <c r="E33" t="inlineStr">
        <is>
          <t>dwh_ceisa.ekspor.fct_peb_ekspor</t>
        </is>
      </c>
    </row>
    <row r="34">
      <c r="A34" s="19" t="inlineStr">
        <is>
          <t>jalur</t>
        </is>
      </c>
      <c r="B34" t="inlineStr">
        <is>
          <t>VARCHAR(8)</t>
        </is>
      </c>
      <c r="C34" t="inlineStr">
        <is>
          <t>Jalur pelayanan pabean: H (Hijau), K (Kuning), M (Merah)</t>
        </is>
      </c>
      <c r="D34" t="inlineStr">
        <is>
          <t>NON-PII</t>
        </is>
      </c>
      <c r="E34" t="inlineStr">
        <is>
          <t>dwh_ceisa.ekspor.fct_peb_ekspor</t>
        </is>
      </c>
    </row>
    <row r="35">
      <c r="A35" s="19" t="inlineStr">
        <is>
          <t>status_pabean</t>
        </is>
      </c>
      <c r="B35" t="inlineStr">
        <is>
          <t>VARCHAR(32)</t>
        </is>
      </c>
      <c r="C35" t="inlineStr">
        <is>
          <t>Status persetujuan pabean: NPE, PERIKSA_FISIK, REVISI, BATAL</t>
        </is>
      </c>
      <c r="D35" t="inlineStr">
        <is>
          <t>NON-PII</t>
        </is>
      </c>
      <c r="E35" t="inlineStr">
        <is>
          <t>dwh_ceisa.ekspor.fct_peb_ekspor</t>
        </is>
      </c>
    </row>
    <row r="36">
      <c r="A36" s="19" t="inlineStr">
        <is>
          <t>created_at</t>
        </is>
      </c>
      <c r="B36" t="inlineStr">
        <is>
          <t>TIMESTAMP</t>
        </is>
      </c>
      <c r="C36" t="inlineStr">
        <is>
          <t>Waktu data tersinkronisasi ke DWH CEISA</t>
        </is>
      </c>
      <c r="D36" t="inlineStr">
        <is>
          <t>NON-PII</t>
        </is>
      </c>
      <c r="E36" t="inlineStr">
        <is>
          <t>dwh_ceisa.ekspor.fct_peb_ekspor</t>
        </is>
      </c>
    </row>
    <row r="37">
      <c r="A37" s="19" t="inlineStr">
        <is>
          <t>nomor_aju</t>
        </is>
      </c>
      <c r="B37" t="inlineStr">
        <is>
          <t>VARCHAR(32)</t>
        </is>
      </c>
      <c r="C37" t="inlineStr">
        <is>
          <t>Nomor Pengajuan 26-digit Dokumen PEB BC 3.0</t>
        </is>
      </c>
      <c r="D37" t="inlineStr">
        <is>
          <t>NON-PII</t>
        </is>
      </c>
      <c r="E37" t="inlineStr">
        <is>
          <t>dwh_ceisa.fasilitas.fct_transactions</t>
        </is>
      </c>
    </row>
    <row r="38">
      <c r="A38" s="19" t="inlineStr">
        <is>
          <t>nomor_daftar</t>
        </is>
      </c>
      <c r="B38" t="inlineStr">
        <is>
          <t>VARCHAR(16)</t>
        </is>
      </c>
      <c r="C38" t="inlineStr">
        <is>
          <t>Nomor Pendaftaran PEB / Nopen resmi 6 digit</t>
        </is>
      </c>
      <c r="D38" t="inlineStr">
        <is>
          <t>NON-PII</t>
        </is>
      </c>
      <c r="E38" t="inlineStr">
        <is>
          <t>dwh_ceisa.fasilitas.fct_transactions</t>
        </is>
      </c>
    </row>
    <row r="39">
      <c r="A39" s="19" t="inlineStr">
        <is>
          <t>tanggal_daftar</t>
        </is>
      </c>
      <c r="B39" t="inlineStr">
        <is>
          <t>TIMESTAMP</t>
        </is>
      </c>
      <c r="C39" t="inlineStr">
        <is>
          <t>Tanggal pendaftaran dokumen ekspor PEB</t>
        </is>
      </c>
      <c r="D39" t="inlineStr">
        <is>
          <t>NON-PII</t>
        </is>
      </c>
      <c r="E39" t="inlineStr">
        <is>
          <t>dwh_ceisa.fasilitas.fct_transactions</t>
        </is>
      </c>
    </row>
    <row r="40">
      <c r="A40" s="19" t="inlineStr">
        <is>
          <t>kantor_ekspor</t>
        </is>
      </c>
      <c r="B40" t="inlineStr">
        <is>
          <t>VARCHAR(64)</t>
        </is>
      </c>
      <c r="C40" t="inlineStr">
        <is>
          <t>Kantor pabean pendaftaran ekspor (contoh: KPPBC TMP TANJUNG PERAK)</t>
        </is>
      </c>
      <c r="D40" t="inlineStr">
        <is>
          <t>NON-PII</t>
        </is>
      </c>
      <c r="E40" t="inlineStr">
        <is>
          <t>dwh_ceisa.fasilitas.fct_transactions</t>
        </is>
      </c>
    </row>
    <row r="41">
      <c r="A41" s="19" t="inlineStr">
        <is>
          <t>kantor_muat</t>
        </is>
      </c>
      <c r="B41" t="inlineStr">
        <is>
          <t>VARCHAR(64)</t>
        </is>
      </c>
      <c r="C41" t="inlineStr">
        <is>
          <t>Kantor pabean pemuatan barang ekspor</t>
        </is>
      </c>
      <c r="D41" t="inlineStr">
        <is>
          <t>NON-PII</t>
        </is>
      </c>
      <c r="E41" t="inlineStr">
        <is>
          <t>dwh_ceisa.fasilitas.fct_transactions</t>
        </is>
      </c>
    </row>
    <row r="42">
      <c r="A42" s="19" t="inlineStr">
        <is>
          <t>npwp_eksportir</t>
        </is>
      </c>
      <c r="B42" t="inlineStr">
        <is>
          <t>VARCHAR(20)</t>
        </is>
      </c>
      <c r="C42" t="inlineStr">
        <is>
          <t>NPWP 15/16 digit perusahaan eksportir</t>
        </is>
      </c>
      <c r="D42" t="inlineStr">
        <is>
          <t>SENSITIF (PII)</t>
        </is>
      </c>
      <c r="E42" t="inlineStr">
        <is>
          <t>dwh_ceisa.fasilitas.fct_transactions</t>
        </is>
      </c>
    </row>
    <row r="43">
      <c r="A43" s="19" t="inlineStr">
        <is>
          <t>nama_eksportir</t>
        </is>
      </c>
      <c r="B43" t="inlineStr">
        <is>
          <t>VARCHAR(128)</t>
        </is>
      </c>
      <c r="C43" t="inlineStr">
        <is>
          <t>Nama entitas badan usaha eksportir</t>
        </is>
      </c>
      <c r="D43" t="inlineStr">
        <is>
          <t>SENSITIF (PII)</t>
        </is>
      </c>
      <c r="E43" t="inlineStr">
        <is>
          <t>dwh_ceisa.fasilitas.fct_transactions</t>
        </is>
      </c>
    </row>
    <row r="44">
      <c r="A44" s="19" t="inlineStr">
        <is>
          <t>alamat_eksportir</t>
        </is>
      </c>
      <c r="B44" t="inlineStr">
        <is>
          <t>VARCHAR(256)</t>
        </is>
      </c>
      <c r="C44" t="inlineStr">
        <is>
          <t>Alamat domisili eksportir</t>
        </is>
      </c>
      <c r="D44" t="inlineStr">
        <is>
          <t>SENSITIF (PII)</t>
        </is>
      </c>
      <c r="E44" t="inlineStr">
        <is>
          <t>dwh_ceisa.fasilitas.fct_transactions</t>
        </is>
      </c>
    </row>
    <row r="45">
      <c r="A45" s="19" t="inlineStr">
        <is>
          <t>npwp_ppjk</t>
        </is>
      </c>
      <c r="B45" t="inlineStr">
        <is>
          <t>VARCHAR(20)</t>
        </is>
      </c>
      <c r="C45" t="inlineStr">
        <is>
          <t>NPWP Perusahaan Pengurusan Jasa Kepabeanan (PPJK)</t>
        </is>
      </c>
      <c r="D45" t="inlineStr">
        <is>
          <t>SENSITIF (PII)</t>
        </is>
      </c>
      <c r="E45" t="inlineStr">
        <is>
          <t>dwh_ceisa.fasilitas.fct_transactions</t>
        </is>
      </c>
    </row>
    <row r="46">
      <c r="A46" s="19" t="inlineStr">
        <is>
          <t>nama_ppjk</t>
        </is>
      </c>
      <c r="B46" t="inlineStr">
        <is>
          <t>VARCHAR(128)</t>
        </is>
      </c>
      <c r="C46" t="inlineStr">
        <is>
          <t>Nama entitas PPJK pengurus dokumen</t>
        </is>
      </c>
      <c r="D46" t="inlineStr">
        <is>
          <t>SENSITIF (PII)</t>
        </is>
      </c>
      <c r="E46" t="inlineStr">
        <is>
          <t>dwh_ceisa.fasilitas.fct_transactions</t>
        </is>
      </c>
    </row>
    <row r="47">
      <c r="A47" s="19" t="inlineStr">
        <is>
          <t>nama_penerima</t>
        </is>
      </c>
      <c r="B47" t="inlineStr">
        <is>
          <t>VARCHAR(128)</t>
        </is>
      </c>
      <c r="C47" t="inlineStr">
        <is>
          <t>Nama entitas penerima barang di luar negeri (Consignee)</t>
        </is>
      </c>
      <c r="D47" t="inlineStr">
        <is>
          <t>NON-PII</t>
        </is>
      </c>
      <c r="E47" t="inlineStr">
        <is>
          <t>dwh_ceisa.fasilitas.fct_transactions</t>
        </is>
      </c>
    </row>
    <row r="48">
      <c r="A48" s="19" t="inlineStr">
        <is>
          <t>negara_penerima</t>
        </is>
      </c>
      <c r="B48" t="inlineStr">
        <is>
          <t>VARCHAR(64)</t>
        </is>
      </c>
      <c r="C48" t="inlineStr">
        <is>
          <t>Negara domisili penerima barang</t>
        </is>
      </c>
      <c r="D48" t="inlineStr">
        <is>
          <t>NON-PII</t>
        </is>
      </c>
      <c r="E48" t="inlineStr">
        <is>
          <t>dwh_ceisa.fasilitas.fct_transactions</t>
        </is>
      </c>
    </row>
    <row r="49">
      <c r="A49" s="19" t="inlineStr">
        <is>
          <t>nama_pembeli</t>
        </is>
      </c>
      <c r="B49" t="inlineStr">
        <is>
          <t>VARCHAR(128)</t>
        </is>
      </c>
      <c r="C49" t="inlineStr">
        <is>
          <t>Nama entitas pembeli di luar negeri (Buyer)</t>
        </is>
      </c>
      <c r="D49" t="inlineStr">
        <is>
          <t>NON-PII</t>
        </is>
      </c>
      <c r="E49" t="inlineStr">
        <is>
          <t>dwh_ceisa.fasilitas.fct_transactions</t>
        </is>
      </c>
    </row>
    <row r="50">
      <c r="A50" s="19" t="inlineStr">
        <is>
          <t>negara_pembeli</t>
        </is>
      </c>
      <c r="B50" t="inlineStr">
        <is>
          <t>VARCHAR(64)</t>
        </is>
      </c>
      <c r="C50" t="inlineStr">
        <is>
          <t>Negara domisili pembeli</t>
        </is>
      </c>
      <c r="D50" t="inlineStr">
        <is>
          <t>NON-PII</t>
        </is>
      </c>
      <c r="E50" t="inlineStr">
        <is>
          <t>dwh_ceisa.fasilitas.fct_transactions</t>
        </is>
      </c>
    </row>
    <row r="51">
      <c r="A51" s="19" t="inlineStr">
        <is>
          <t>negara_tujuan</t>
        </is>
      </c>
      <c r="B51" t="inlineStr">
        <is>
          <t>VARCHAR(64)</t>
        </is>
      </c>
      <c r="C51" t="inlineStr">
        <is>
          <t>Negara tujuan akhir ekspor barang</t>
        </is>
      </c>
      <c r="D51" t="inlineStr">
        <is>
          <t>NON-PII</t>
        </is>
      </c>
      <c r="E51" t="inlineStr">
        <is>
          <t>dwh_ceisa.fasilitas.fct_transactions</t>
        </is>
      </c>
    </row>
    <row r="52">
      <c r="A52" s="19" t="inlineStr">
        <is>
          <t>seri_barang</t>
        </is>
      </c>
      <c r="B52" t="inlineStr">
        <is>
          <t>INTEGER</t>
        </is>
      </c>
      <c r="C52" t="inlineStr">
        <is>
          <t>Nomor urut seri barang ekspor dalam PEB</t>
        </is>
      </c>
      <c r="D52" t="inlineStr">
        <is>
          <t>NON-PII</t>
        </is>
      </c>
      <c r="E52" t="inlineStr">
        <is>
          <t>dwh_ceisa.fasilitas.fct_transactions</t>
        </is>
      </c>
    </row>
    <row r="53">
      <c r="A53" s="19" t="inlineStr">
        <is>
          <t>kode_hs</t>
        </is>
      </c>
      <c r="B53" t="inlineStr">
        <is>
          <t>VARCHAR(16)</t>
        </is>
      </c>
      <c r="C53" t="inlineStr">
        <is>
          <t>Klasifikasi pos tarif 8/10 digit HS Code (contoh: 7112999000)</t>
        </is>
      </c>
      <c r="D53" t="inlineStr">
        <is>
          <t>NON-PII</t>
        </is>
      </c>
      <c r="E53" t="inlineStr">
        <is>
          <t>dwh_ceisa.fasilitas.fct_transactions</t>
        </is>
      </c>
    </row>
    <row r="54">
      <c r="A54" s="19" t="inlineStr">
        <is>
          <t>uraian_barang</t>
        </is>
      </c>
      <c r="B54" t="inlineStr">
        <is>
          <t>VARCHAR(500)</t>
        </is>
      </c>
      <c r="C54" t="inlineStr">
        <is>
          <t>Uraian jenis dan spesifikasi komoditas barang ekspor</t>
        </is>
      </c>
      <c r="D54" t="inlineStr">
        <is>
          <t>NON-PII</t>
        </is>
      </c>
      <c r="E54" t="inlineStr">
        <is>
          <t>dwh_ceisa.fasilitas.fct_transactions</t>
        </is>
      </c>
    </row>
    <row r="55">
      <c r="A55" s="19" t="inlineStr">
        <is>
          <t>jumlah_satuan</t>
        </is>
      </c>
      <c r="B55" t="inlineStr">
        <is>
          <t>NUMERIC(18,4)</t>
        </is>
      </c>
      <c r="C55" t="inlineStr">
        <is>
          <t>Jumlah kuantitas barang ekspor</t>
        </is>
      </c>
      <c r="D55" t="inlineStr">
        <is>
          <t>NON-PII</t>
        </is>
      </c>
      <c r="E55" t="inlineStr">
        <is>
          <t>dwh_ceisa.fasilitas.fct_transactions</t>
        </is>
      </c>
    </row>
    <row r="56">
      <c r="A56" s="19" t="inlineStr">
        <is>
          <t>jenis_satuan</t>
        </is>
      </c>
      <c r="B56" t="inlineStr">
        <is>
          <t>VARCHAR(16)</t>
        </is>
      </c>
      <c r="C56" t="inlineStr">
        <is>
          <t>Satuan barang (KGM, PCS, TNE, dsb.)</t>
        </is>
      </c>
      <c r="D56" t="inlineStr">
        <is>
          <t>NON-PII</t>
        </is>
      </c>
      <c r="E56" t="inlineStr">
        <is>
          <t>dwh_ceisa.fasilitas.fct_transactions</t>
        </is>
      </c>
    </row>
    <row r="57">
      <c r="A57" s="19" t="inlineStr">
        <is>
          <t>netto_barang</t>
        </is>
      </c>
      <c r="B57" t="inlineStr">
        <is>
          <t>NUMERIC(18,4)</t>
        </is>
      </c>
      <c r="C57" t="inlineStr">
        <is>
          <t>Berat bersih (Net Weight) barang (Kg)</t>
        </is>
      </c>
      <c r="D57" t="inlineStr">
        <is>
          <t>NON-PII</t>
        </is>
      </c>
      <c r="E57" t="inlineStr">
        <is>
          <t>dwh_ceisa.fasilitas.fct_transactions</t>
        </is>
      </c>
    </row>
    <row r="58">
      <c r="A58" s="19" t="inlineStr">
        <is>
          <t>valuta</t>
        </is>
      </c>
      <c r="B58" t="inlineStr">
        <is>
          <t>VARCHAR(8)</t>
        </is>
      </c>
      <c r="C58" t="inlineStr">
        <is>
          <t>Kode valuta transaksi (USD, IDR, JPY, EUR)</t>
        </is>
      </c>
      <c r="D58" t="inlineStr">
        <is>
          <t>NON-PII</t>
        </is>
      </c>
      <c r="E58" t="inlineStr">
        <is>
          <t>dwh_ceisa.fasilitas.fct_transactions</t>
        </is>
      </c>
    </row>
    <row r="59">
      <c r="A59" s="19" t="inlineStr">
        <is>
          <t>kurs</t>
        </is>
      </c>
      <c r="B59" t="inlineStr">
        <is>
          <t>NUMERIC(18,4)</t>
        </is>
      </c>
      <c r="C59" t="inlineStr">
        <is>
          <t>Nilai kurs Keputusan Menteri Keuangan (KMK)</t>
        </is>
      </c>
      <c r="D59" t="inlineStr">
        <is>
          <t>NON-PII</t>
        </is>
      </c>
      <c r="E59" t="inlineStr">
        <is>
          <t>dwh_ceisa.fasilitas.fct_transactions</t>
        </is>
      </c>
    </row>
    <row r="60">
      <c r="A60" s="19" t="inlineStr">
        <is>
          <t>fob_barang</t>
        </is>
      </c>
      <c r="B60" t="inlineStr">
        <is>
          <t>NUMERIC(18,2)</t>
        </is>
      </c>
      <c r="C60" t="inlineStr">
        <is>
          <t>Nilai Free On Board (FOB) barang dalam valuta</t>
        </is>
      </c>
      <c r="D60" t="inlineStr">
        <is>
          <t>NON-PII</t>
        </is>
      </c>
      <c r="E60" t="inlineStr">
        <is>
          <t>dwh_ceisa.fasilitas.fct_transactions</t>
        </is>
      </c>
    </row>
    <row r="61">
      <c r="A61" s="19" t="inlineStr">
        <is>
          <t>tarif_bea_keluar</t>
        </is>
      </c>
      <c r="B61" t="inlineStr">
        <is>
          <t>NUMERIC(8,4)</t>
        </is>
      </c>
      <c r="C61" t="inlineStr">
        <is>
          <t>Tarif pungutan Bea Keluar ekspor (Advalorem % atau spesifik)</t>
        </is>
      </c>
      <c r="D61" t="inlineStr">
        <is>
          <t>NON-PII</t>
        </is>
      </c>
      <c r="E61" t="inlineStr">
        <is>
          <t>dwh_ceisa.fasilitas.fct_transactions</t>
        </is>
      </c>
    </row>
    <row r="62">
      <c r="A62" s="19" t="inlineStr">
        <is>
          <t>bea_keluar_barang</t>
        </is>
      </c>
      <c r="B62" t="inlineStr">
        <is>
          <t>NUMERIC(18,2)</t>
        </is>
      </c>
      <c r="C62" t="inlineStr">
        <is>
          <t>Nominal pungutan Bea Keluar ekspor barang (Rupiah)</t>
        </is>
      </c>
      <c r="D62" t="inlineStr">
        <is>
          <t>NON-PII</t>
        </is>
      </c>
      <c r="E62" t="inlineStr">
        <is>
          <t>dwh_ceisa.fasilitas.fct_transactions</t>
        </is>
      </c>
    </row>
    <row r="63">
      <c r="A63" s="19" t="inlineStr">
        <is>
          <t>pph_ekspor_peb</t>
        </is>
      </c>
      <c r="B63" t="inlineStr">
        <is>
          <t>NUMERIC(18,2)</t>
        </is>
      </c>
      <c r="C63" t="inlineStr">
        <is>
          <t>Pajak Penghasilan (PPh Pasal 22) Ekspor (Rupiah)</t>
        </is>
      </c>
      <c r="D63" t="inlineStr">
        <is>
          <t>NON-PII</t>
        </is>
      </c>
      <c r="E63" t="inlineStr">
        <is>
          <t>dwh_ceisa.fasilitas.fct_transactions</t>
        </is>
      </c>
    </row>
    <row r="64">
      <c r="A64" s="19" t="inlineStr">
        <is>
          <t>jalur</t>
        </is>
      </c>
      <c r="B64" t="inlineStr">
        <is>
          <t>VARCHAR(8)</t>
        </is>
      </c>
      <c r="C64" t="inlineStr">
        <is>
          <t>Jalur pelayanan pabean: H (Hijau), K (Kuning), M (Merah)</t>
        </is>
      </c>
      <c r="D64" t="inlineStr">
        <is>
          <t>NON-PII</t>
        </is>
      </c>
      <c r="E64" t="inlineStr">
        <is>
          <t>dwh_ceisa.fasilitas.fct_transactions</t>
        </is>
      </c>
    </row>
    <row r="65">
      <c r="A65" s="19" t="inlineStr">
        <is>
          <t>status_pabean</t>
        </is>
      </c>
      <c r="B65" t="inlineStr">
        <is>
          <t>VARCHAR(32)</t>
        </is>
      </c>
      <c r="C65" t="inlineStr">
        <is>
          <t>Status persetujuan pabean: NPE, PERIKSA_FISIK, REVISI, BATAL</t>
        </is>
      </c>
      <c r="D65" t="inlineStr">
        <is>
          <t>NON-PII</t>
        </is>
      </c>
      <c r="E65" t="inlineStr">
        <is>
          <t>dwh_ceisa.fasilitas.fct_transactions</t>
        </is>
      </c>
    </row>
    <row r="66">
      <c r="A66" s="19" t="inlineStr">
        <is>
          <t>transaction_id</t>
        </is>
      </c>
      <c r="B66" t="inlineStr">
        <is>
          <t>VARCHAR(64)</t>
        </is>
      </c>
      <c r="C66" t="inlineStr">
        <is>
          <t>Alias ID transaksi unik (sesuai nomor_aju)</t>
        </is>
      </c>
      <c r="D66" t="inlineStr">
        <is>
          <t>NON-PII</t>
        </is>
      </c>
      <c r="E66" t="inlineStr">
        <is>
          <t>dwh_ceisa.fasilitas.fct_transactions</t>
        </is>
      </c>
    </row>
    <row r="67">
      <c r="A67" s="19" t="inlineStr">
        <is>
          <t>customer_id</t>
        </is>
      </c>
      <c r="B67" t="inlineStr">
        <is>
          <t>VARCHAR(32)</t>
        </is>
      </c>
      <c r="C67" t="inlineStr">
        <is>
          <t>Alias ID entitas (sesuai npwp_eksportir)</t>
        </is>
      </c>
      <c r="D67" t="inlineStr">
        <is>
          <t>NON-PII</t>
        </is>
      </c>
      <c r="E67" t="inlineStr">
        <is>
          <t>dwh_ceisa.fasilitas.fct_transactions</t>
        </is>
      </c>
    </row>
    <row r="68">
      <c r="A68" s="19" t="inlineStr">
        <is>
          <t>transaction_date</t>
        </is>
      </c>
      <c r="B68" t="inlineStr">
        <is>
          <t>TIMESTAMP</t>
        </is>
      </c>
      <c r="C68" t="inlineStr">
        <is>
          <t>Alias waktu transaksi (sesuai tanggal_daftar)</t>
        </is>
      </c>
      <c r="D68" t="inlineStr">
        <is>
          <t>NON-PII</t>
        </is>
      </c>
      <c r="E68" t="inlineStr">
        <is>
          <t>dwh_ceisa.fasilitas.fct_transactions</t>
        </is>
      </c>
    </row>
    <row r="69">
      <c r="A69" s="19" t="inlineStr">
        <is>
          <t>total_amount</t>
        </is>
      </c>
      <c r="B69" t="inlineStr">
        <is>
          <t>NUMERIC(18,2)</t>
        </is>
      </c>
      <c r="C69" t="inlineStr">
        <is>
          <t>Alias total nilai transaksi (sesuai fob_barang / devisa)</t>
        </is>
      </c>
      <c r="D69" t="inlineStr">
        <is>
          <t>NON-PII</t>
        </is>
      </c>
      <c r="E69" t="inlineStr">
        <is>
          <t>dwh_ceisa.fasilitas.fct_transactions</t>
        </is>
      </c>
    </row>
    <row r="70">
      <c r="A70" s="19" t="inlineStr">
        <is>
          <t>status</t>
        </is>
      </c>
      <c r="B70" t="inlineStr">
        <is>
          <t>VARCHAR(32)</t>
        </is>
      </c>
      <c r="C70" t="inlineStr">
        <is>
          <t>Alias status dokumen transaksi (sesuai status_pabean)</t>
        </is>
      </c>
      <c r="D70" t="inlineStr">
        <is>
          <t>NON-PII</t>
        </is>
      </c>
      <c r="E70" t="inlineStr">
        <is>
          <t>dwh_ceisa.fasilitas.fct_transactions</t>
        </is>
      </c>
    </row>
    <row r="71">
      <c r="A71" s="19" t="inlineStr">
        <is>
          <t>created_at</t>
        </is>
      </c>
      <c r="B71" t="inlineStr">
        <is>
          <t>TIMESTAMP</t>
        </is>
      </c>
      <c r="C71" t="inlineStr">
        <is>
          <t>Waktu record dibuat di DWH</t>
        </is>
      </c>
      <c r="D71" t="inlineStr">
        <is>
          <t>NON-PII</t>
        </is>
      </c>
      <c r="E71" t="inlineStr">
        <is>
          <t>dwh_ceisa.fasilitas.fct_transactions</t>
        </is>
      </c>
    </row>
    <row r="72">
      <c r="A72" s="19" t="inlineStr">
        <is>
          <t>customer_id</t>
        </is>
      </c>
      <c r="B72" t="inlineStr">
        <is>
          <t>VARCHAR(32)</t>
        </is>
      </c>
      <c r="C72" t="inlineStr">
        <is>
          <t>Primary key unik nasabah/perusahaan</t>
        </is>
      </c>
      <c r="D72" t="inlineStr">
        <is>
          <t>NON-PII</t>
        </is>
      </c>
      <c r="E72" t="inlineStr">
        <is>
          <t>dwh_ceisa.fasilitas.dim_customers</t>
        </is>
      </c>
    </row>
    <row r="73">
      <c r="A73" s="19" t="inlineStr">
        <is>
          <t>customer_name</t>
        </is>
      </c>
      <c r="B73" t="inlineStr">
        <is>
          <t>VARCHAR(128)</t>
        </is>
      </c>
      <c r="C73" t="inlineStr">
        <is>
          <t>Nama lengkap badan usaha/nasabah</t>
        </is>
      </c>
      <c r="D73" t="inlineStr">
        <is>
          <t>SENSITIF (PII)</t>
        </is>
      </c>
      <c r="E73" t="inlineStr">
        <is>
          <t>dwh_ceisa.fasilitas.dim_customers</t>
        </is>
      </c>
    </row>
    <row r="74">
      <c r="A74" s="19" t="inlineStr">
        <is>
          <t>email</t>
        </is>
      </c>
      <c r="B74" t="inlineStr">
        <is>
          <t>VARCHAR(128)</t>
        </is>
      </c>
      <c r="C74" t="inlineStr">
        <is>
          <t>Alamat email aktif perusahaan</t>
        </is>
      </c>
      <c r="D74" t="inlineStr">
        <is>
          <t>SENSITIF (PII)</t>
        </is>
      </c>
      <c r="E74" t="inlineStr">
        <is>
          <t>dwh_ceisa.fasilitas.dim_customers</t>
        </is>
      </c>
    </row>
    <row r="75">
      <c r="A75" s="19" t="inlineStr">
        <is>
          <t>phone_number</t>
        </is>
      </c>
      <c r="B75" t="inlineStr">
        <is>
          <t>VARCHAR(32)</t>
        </is>
      </c>
      <c r="C75" t="inlineStr">
        <is>
          <t>Nomor handphone/kontak terdaftar</t>
        </is>
      </c>
      <c r="D75" t="inlineStr">
        <is>
          <t>SENSITIF (PII)</t>
        </is>
      </c>
      <c r="E75" t="inlineStr">
        <is>
          <t>dwh_ceisa.fasilitas.dim_customers</t>
        </is>
      </c>
    </row>
    <row r="76">
      <c r="A76" s="19" t="inlineStr">
        <is>
          <t>nik</t>
        </is>
      </c>
      <c r="B76" t="inlineStr">
        <is>
          <t>VARCHAR(16)</t>
        </is>
      </c>
      <c r="C76" t="inlineStr">
        <is>
          <t>Nomor Induk Kependudukan (16 digit)</t>
        </is>
      </c>
      <c r="D76" t="inlineStr">
        <is>
          <t>SENSITIF (PII)</t>
        </is>
      </c>
      <c r="E76" t="inlineStr">
        <is>
          <t>dwh_ceisa.fasilitas.dim_customers</t>
        </is>
      </c>
    </row>
    <row r="77">
      <c r="A77" s="19" t="inlineStr">
        <is>
          <t>customer_segment</t>
        </is>
      </c>
      <c r="B77" t="inlineStr">
        <is>
          <t>VARCHAR(32)</t>
        </is>
      </c>
      <c r="C77" t="inlineStr">
        <is>
          <t>Segmen fasilitas: PRIORITAS, KITE_INDUSTRI, TPB_BERIKAT, REGULER</t>
        </is>
      </c>
      <c r="D77" t="inlineStr">
        <is>
          <t>NON-PII</t>
        </is>
      </c>
      <c r="E77" t="inlineStr">
        <is>
          <t>dwh_ceisa.fasilitas.dim_customers</t>
        </is>
      </c>
    </row>
    <row r="78">
      <c r="A78" s="19" t="inlineStr">
        <is>
          <t>city</t>
        </is>
      </c>
      <c r="B78" t="inlineStr">
        <is>
          <t>VARCHAR(64)</t>
        </is>
      </c>
      <c r="C78" t="inlineStr">
        <is>
          <t>Kota domisili perusahaan</t>
        </is>
      </c>
      <c r="D78" t="inlineStr">
        <is>
          <t>NON-PII</t>
        </is>
      </c>
      <c r="E78" t="inlineStr">
        <is>
          <t>dwh_ceisa.fasilitas.dim_customers</t>
        </is>
      </c>
    </row>
    <row r="79">
      <c r="A79" s="19" t="inlineStr">
        <is>
          <t>province</t>
        </is>
      </c>
      <c r="B79" t="inlineStr">
        <is>
          <t>VARCHAR(64)</t>
        </is>
      </c>
      <c r="C79" t="inlineStr">
        <is>
          <t>Provinsi domisili perusahaan</t>
        </is>
      </c>
      <c r="D79" t="inlineStr">
        <is>
          <t>NON-PII</t>
        </is>
      </c>
      <c r="E79" t="inlineStr">
        <is>
          <t>dwh_ceisa.fasilitas.dim_customers</t>
        </is>
      </c>
    </row>
    <row r="80">
      <c r="A80" s="19" t="inlineStr">
        <is>
          <t>registration_date</t>
        </is>
      </c>
      <c r="B80" t="inlineStr">
        <is>
          <t>DATE</t>
        </is>
      </c>
      <c r="C80" t="inlineStr">
        <is>
          <t>Tanggal pertama kali terdaftar fasilitas</t>
        </is>
      </c>
      <c r="D80" t="inlineStr">
        <is>
          <t>NON-PII</t>
        </is>
      </c>
      <c r="E80" t="inlineStr">
        <is>
          <t>dwh_ceisa.fasilitas.dim_customers</t>
        </is>
      </c>
    </row>
    <row r="81">
      <c r="A81" s="19" t="inlineStr">
        <is>
          <t>is_active</t>
        </is>
      </c>
      <c r="B81" t="inlineStr">
        <is>
          <t>BOOLEAN</t>
        </is>
      </c>
      <c r="C81" t="inlineStr">
        <is>
          <t>Status keaktifan fasilitas akun (TRUE/FALSE)</t>
        </is>
      </c>
      <c r="D81" t="inlineStr">
        <is>
          <t>NON-PII</t>
        </is>
      </c>
      <c r="E81" t="inlineStr">
        <is>
          <t>dwh_ceisa.fasilitas.dim_customers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4" customWidth="1" min="4" max="4"/>
    <col width="16" customWidth="1" min="5" max="5"/>
    <col width="14" customWidth="1" min="6" max="6"/>
    <col width="18" customWidth="1" min="7" max="7"/>
    <col width="16" customWidth="1" min="8" max="8"/>
    <col width="30" customWidth="1" min="9" max="9"/>
    <col width="12" customWidth="1" min="10" max="10"/>
    <col width="32" customWidth="1" min="11" max="11"/>
    <col width="26" customWidth="1" min="12" max="12"/>
  </cols>
  <sheetData>
    <row r="1">
      <c r="A1" s="20" t="inlineStr">
        <is>
          <t>PROFILING &amp; METRIK KUALITAS DATA KEPABEANAN (DATA QUALITY SCORECARD)</t>
        </is>
      </c>
    </row>
    <row r="2">
      <c r="A2" s="21" t="inlineStr">
        <is>
          <t>Permohonan: REQ-2026-BC-089 | Tanggal Analisis: 13 October 2026 | Total Baris: 35 baris</t>
        </is>
      </c>
    </row>
    <row r="4">
      <c r="B4" s="22" t="inlineStr">
        <is>
          <t>SKOR KELENGKAPAN</t>
        </is>
      </c>
      <c r="E4" s="23" t="inlineStr">
        <is>
          <t>TOTAL ATRIBUT</t>
        </is>
      </c>
      <c r="H4" s="24" t="inlineStr">
        <is>
          <t>KOLOM PROTEKSI PDP</t>
        </is>
      </c>
      <c r="K4" s="25" t="inlineStr">
        <is>
          <t>STATUS INTEGRITAS</t>
        </is>
      </c>
    </row>
    <row r="5">
      <c r="B5" s="26">
        <f>AVERAGE(G9:G39)</f>
        <v/>
      </c>
      <c r="E5" s="27">
        <f>COUNTA(B9:B39)</f>
        <v/>
      </c>
      <c r="H5" s="28" t="n">
        <v>6</v>
      </c>
      <c r="K5" s="29" t="inlineStr">
        <is>
          <t>100% VALID &amp; VERIFIED</t>
        </is>
      </c>
    </row>
    <row r="8">
      <c r="A8" s="30" t="inlineStr">
        <is>
          <t>No</t>
        </is>
      </c>
      <c r="B8" s="30" t="inlineStr">
        <is>
          <t>Nama Atribut / Kolom</t>
        </is>
      </c>
      <c r="C8" s="30" t="inlineStr">
        <is>
          <t>Tipe Data Terdeteksi</t>
        </is>
      </c>
      <c r="D8" s="30" t="inlineStr">
        <is>
          <t>Total Baris</t>
        </is>
      </c>
      <c r="E8" s="30" t="inlineStr">
        <is>
          <t>Terisi (Non-Null)</t>
        </is>
      </c>
      <c r="F8" s="30" t="inlineStr">
        <is>
          <t>Kosong (Null)</t>
        </is>
      </c>
      <c r="G8" s="30" t="inlineStr">
        <is>
          <t>Rasio Kelengkapan</t>
        </is>
      </c>
      <c r="H8" s="30" t="inlineStr">
        <is>
          <t>Nilai Unik (Kardinalitas)</t>
        </is>
      </c>
      <c r="I8" s="30" t="inlineStr">
        <is>
          <t>Nilai Modus / Terbanyak</t>
        </is>
      </c>
      <c r="J8" s="30" t="inlineStr">
        <is>
          <t>Frekuensi</t>
        </is>
      </c>
      <c r="K8" s="30" t="inlineStr">
        <is>
          <t>Rentang / Statistik Sebaran</t>
        </is>
      </c>
      <c r="L8" s="30" t="inlineStr">
        <is>
          <t>Status Kepatuhan PDP</t>
        </is>
      </c>
    </row>
    <row r="9">
      <c r="A9" s="31" t="n">
        <v>1</v>
      </c>
      <c r="B9" s="32" t="inlineStr">
        <is>
          <t>nomor_aju</t>
        </is>
      </c>
      <c r="C9" s="32" t="inlineStr">
        <is>
          <t>String / Teks Kategoris</t>
        </is>
      </c>
      <c r="D9" s="33" t="n">
        <v>35</v>
      </c>
      <c r="E9" s="33" t="n">
        <v>35</v>
      </c>
      <c r="F9" s="33" t="n">
        <v>0</v>
      </c>
      <c r="G9" s="34" t="n">
        <v>1</v>
      </c>
      <c r="H9" s="33" t="n">
        <v>35</v>
      </c>
      <c r="I9" s="32" t="inlineStr">
        <is>
          <t>07000000022220260704100001</t>
        </is>
      </c>
      <c r="J9" s="33" t="n">
        <v>1</v>
      </c>
      <c r="K9" s="35" t="inlineStr">
        <is>
          <t>Kardinalitas: 35 ragam nilai</t>
        </is>
      </c>
      <c r="L9" s="31" t="inlineStr">
        <is>
          <t>Data Transaksional Standar</t>
        </is>
      </c>
    </row>
    <row r="10">
      <c r="A10" s="36" t="n">
        <v>2</v>
      </c>
      <c r="B10" s="37" t="inlineStr">
        <is>
          <t>nomor_daftar</t>
        </is>
      </c>
      <c r="C10" s="37" t="inlineStr">
        <is>
          <t>String / Teks Kategoris</t>
        </is>
      </c>
      <c r="D10" s="38" t="n">
        <v>35</v>
      </c>
      <c r="E10" s="38" t="n">
        <v>35</v>
      </c>
      <c r="F10" s="38" t="n">
        <v>0</v>
      </c>
      <c r="G10" s="39" t="n">
        <v>1</v>
      </c>
      <c r="H10" s="38" t="n">
        <v>34</v>
      </c>
      <c r="I10" s="37" t="inlineStr">
        <is>
          <t>006951</t>
        </is>
      </c>
      <c r="J10" s="38" t="n">
        <v>2</v>
      </c>
      <c r="K10" s="40" t="inlineStr">
        <is>
          <t>Kardinalitas: 34 ragam nilai</t>
        </is>
      </c>
      <c r="L10" s="36" t="inlineStr">
        <is>
          <t>Data Transaksional Standar</t>
        </is>
      </c>
    </row>
    <row r="11">
      <c r="A11" s="31" t="n">
        <v>3</v>
      </c>
      <c r="B11" s="32" t="inlineStr">
        <is>
          <t>tanggal_daftar</t>
        </is>
      </c>
      <c r="C11" s="32" t="inlineStr">
        <is>
          <t>Tanggal / Temporal</t>
        </is>
      </c>
      <c r="D11" s="33" t="n">
        <v>35</v>
      </c>
      <c r="E11" s="33" t="n">
        <v>35</v>
      </c>
      <c r="F11" s="33" t="n">
        <v>0</v>
      </c>
      <c r="G11" s="34" t="n">
        <v>1</v>
      </c>
      <c r="H11" s="33" t="n">
        <v>27</v>
      </c>
      <c r="I11" s="32" t="inlineStr">
        <is>
          <t>2026-09-18</t>
        </is>
      </c>
      <c r="J11" s="33" t="n">
        <v>3</v>
      </c>
      <c r="K11" s="35" t="inlineStr">
        <is>
          <t>Rentang: 2026-07-04 s/d 2026-09-30</t>
        </is>
      </c>
      <c r="L11" s="31" t="inlineStr">
        <is>
          <t>Data Transaksional Standar</t>
        </is>
      </c>
    </row>
    <row r="12">
      <c r="A12" s="36" t="n">
        <v>4</v>
      </c>
      <c r="B12" s="37" t="inlineStr">
        <is>
          <t>kantor_ekspor</t>
        </is>
      </c>
      <c r="C12" s="37" t="inlineStr">
        <is>
          <t>String / Teks Kategoris</t>
        </is>
      </c>
      <c r="D12" s="38" t="n">
        <v>35</v>
      </c>
      <c r="E12" s="38" t="n">
        <v>35</v>
      </c>
      <c r="F12" s="38" t="n">
        <v>0</v>
      </c>
      <c r="G12" s="39" t="n">
        <v>1</v>
      </c>
      <c r="H12" s="38" t="n">
        <v>4</v>
      </c>
      <c r="I12" s="37" t="inlineStr">
        <is>
          <t>KPPBC TMP BELAWAN</t>
        </is>
      </c>
      <c r="J12" s="38" t="n">
        <v>12</v>
      </c>
      <c r="K12" s="40" t="inlineStr">
        <is>
          <t>Kardinalitas: 4 ragam nilai</t>
        </is>
      </c>
      <c r="L12" s="36" t="inlineStr">
        <is>
          <t>Data Transaksional Standar</t>
        </is>
      </c>
    </row>
    <row r="13">
      <c r="A13" s="31" t="n">
        <v>5</v>
      </c>
      <c r="B13" s="32" t="inlineStr">
        <is>
          <t>kantor_muat</t>
        </is>
      </c>
      <c r="C13" s="32" t="inlineStr">
        <is>
          <t>String / Teks Kategoris</t>
        </is>
      </c>
      <c r="D13" s="33" t="n">
        <v>35</v>
      </c>
      <c r="E13" s="33" t="n">
        <v>35</v>
      </c>
      <c r="F13" s="33" t="n">
        <v>0</v>
      </c>
      <c r="G13" s="34" t="n">
        <v>1</v>
      </c>
      <c r="H13" s="33" t="n">
        <v>3</v>
      </c>
      <c r="I13" s="32" t="inlineStr">
        <is>
          <t>KPPBC TMP BELAWAN</t>
        </is>
      </c>
      <c r="J13" s="33" t="n">
        <v>14</v>
      </c>
      <c r="K13" s="35" t="inlineStr">
        <is>
          <t>Kardinalitas: 3 ragam nilai</t>
        </is>
      </c>
      <c r="L13" s="31" t="inlineStr">
        <is>
          <t>Data Transaksional Standar</t>
        </is>
      </c>
    </row>
    <row r="14">
      <c r="A14" s="36" t="n">
        <v>6</v>
      </c>
      <c r="B14" s="37" t="inlineStr">
        <is>
          <t>nama_eksportir_masked</t>
        </is>
      </c>
      <c r="C14" s="37" t="inlineStr">
        <is>
          <t>String / Teks Kategoris</t>
        </is>
      </c>
      <c r="D14" s="38" t="n">
        <v>35</v>
      </c>
      <c r="E14" s="38" t="n">
        <v>35</v>
      </c>
      <c r="F14" s="38" t="n">
        <v>0</v>
      </c>
      <c r="G14" s="39" t="n">
        <v>1</v>
      </c>
      <c r="H14" s="38" t="n">
        <v>6</v>
      </c>
      <c r="I14" s="37" t="inlineStr">
        <is>
          <t>PT IND*** CBP MAKMUR</t>
        </is>
      </c>
      <c r="J14" s="38" t="n">
        <v>7</v>
      </c>
      <c r="K14" s="40" t="inlineStr">
        <is>
          <t>Kardinalitas: 6 ragam nilai</t>
        </is>
      </c>
      <c r="L14" s="41" t="inlineStr">
        <is>
          <t>Dimaskir Dinamis (Aman)</t>
        </is>
      </c>
    </row>
    <row r="15">
      <c r="A15" s="31" t="n">
        <v>7</v>
      </c>
      <c r="B15" s="32" t="inlineStr">
        <is>
          <t>npwp_eksportir_masked</t>
        </is>
      </c>
      <c r="C15" s="32" t="inlineStr">
        <is>
          <t>String / Teks Kategoris</t>
        </is>
      </c>
      <c r="D15" s="33" t="n">
        <v>35</v>
      </c>
      <c r="E15" s="33" t="n">
        <v>35</v>
      </c>
      <c r="F15" s="33" t="n">
        <v>0</v>
      </c>
      <c r="G15" s="34" t="n">
        <v>1</v>
      </c>
      <c r="H15" s="33" t="n">
        <v>35</v>
      </c>
      <c r="I15" s="32" t="inlineStr">
        <is>
          <t>01.264.***.*-936.000</t>
        </is>
      </c>
      <c r="J15" s="33" t="n">
        <v>1</v>
      </c>
      <c r="K15" s="35" t="inlineStr">
        <is>
          <t>Kardinalitas: 35 ragam nilai</t>
        </is>
      </c>
      <c r="L15" s="42" t="inlineStr">
        <is>
          <t>Dimaskir Dinamis (Aman)</t>
        </is>
      </c>
    </row>
    <row r="16">
      <c r="A16" s="36" t="n">
        <v>8</v>
      </c>
      <c r="B16" s="37" t="inlineStr">
        <is>
          <t>npwp_ppjk_masked</t>
        </is>
      </c>
      <c r="C16" s="37" t="inlineStr">
        <is>
          <t>String / Teks Kategoris</t>
        </is>
      </c>
      <c r="D16" s="38" t="n">
        <v>35</v>
      </c>
      <c r="E16" s="38" t="n">
        <v>35</v>
      </c>
      <c r="F16" s="38" t="n">
        <v>0</v>
      </c>
      <c r="G16" s="39" t="n">
        <v>1</v>
      </c>
      <c r="H16" s="38" t="n">
        <v>35</v>
      </c>
      <c r="I16" s="37" t="inlineStr">
        <is>
          <t>01.813.***.*-125.000</t>
        </is>
      </c>
      <c r="J16" s="38" t="n">
        <v>1</v>
      </c>
      <c r="K16" s="40" t="inlineStr">
        <is>
          <t>Kardinalitas: 35 ragam nilai</t>
        </is>
      </c>
      <c r="L16" s="41" t="inlineStr">
        <is>
          <t>Dimaskir Dinamis (Aman)</t>
        </is>
      </c>
    </row>
    <row r="17">
      <c r="A17" s="31" t="n">
        <v>9</v>
      </c>
      <c r="B17" s="32" t="inlineStr">
        <is>
          <t>nama_ppjk_masked</t>
        </is>
      </c>
      <c r="C17" s="32" t="inlineStr">
        <is>
          <t>String / Teks Kategoris</t>
        </is>
      </c>
      <c r="D17" s="33" t="n">
        <v>35</v>
      </c>
      <c r="E17" s="33" t="n">
        <v>35</v>
      </c>
      <c r="F17" s="33" t="n">
        <v>0</v>
      </c>
      <c r="G17" s="34" t="n">
        <v>1</v>
      </c>
      <c r="H17" s="33" t="n">
        <v>1</v>
      </c>
      <c r="I17" s="32" t="inlineStr">
        <is>
          <t>PT CIP*** SEGARA INTERNASIONAL</t>
        </is>
      </c>
      <c r="J17" s="33" t="n">
        <v>35</v>
      </c>
      <c r="K17" s="35" t="inlineStr">
        <is>
          <t>Kardinalitas: 1 ragam nilai</t>
        </is>
      </c>
      <c r="L17" s="42" t="inlineStr">
        <is>
          <t>Dimaskir Dinamis (Aman)</t>
        </is>
      </c>
    </row>
    <row r="18">
      <c r="A18" s="36" t="n">
        <v>10</v>
      </c>
      <c r="B18" s="37" t="inlineStr">
        <is>
          <t>nama_penerima</t>
        </is>
      </c>
      <c r="C18" s="37" t="inlineStr">
        <is>
          <t>String / Teks Kategoris</t>
        </is>
      </c>
      <c r="D18" s="38" t="n">
        <v>35</v>
      </c>
      <c r="E18" s="38" t="n">
        <v>35</v>
      </c>
      <c r="F18" s="38" t="n">
        <v>0</v>
      </c>
      <c r="G18" s="39" t="n">
        <v>1</v>
      </c>
      <c r="H18" s="38" t="n">
        <v>1</v>
      </c>
      <c r="I18" s="37" t="inlineStr">
        <is>
          <t>MITSUBISHI CORPORATION RTM JAPAN LTD.</t>
        </is>
      </c>
      <c r="J18" s="38" t="n">
        <v>35</v>
      </c>
      <c r="K18" s="40" t="inlineStr">
        <is>
          <t>Kardinalitas: 1 ragam nilai</t>
        </is>
      </c>
      <c r="L18" s="36" t="inlineStr">
        <is>
          <t>Data Transaksional Standar</t>
        </is>
      </c>
    </row>
    <row r="19">
      <c r="A19" s="31" t="n">
        <v>11</v>
      </c>
      <c r="B19" s="32" t="inlineStr">
        <is>
          <t>negara_penerima</t>
        </is>
      </c>
      <c r="C19" s="32" t="inlineStr">
        <is>
          <t>String / Teks Kategoris</t>
        </is>
      </c>
      <c r="D19" s="33" t="n">
        <v>35</v>
      </c>
      <c r="E19" s="33" t="n">
        <v>35</v>
      </c>
      <c r="F19" s="33" t="n">
        <v>0</v>
      </c>
      <c r="G19" s="34" t="n">
        <v>1</v>
      </c>
      <c r="H19" s="33" t="n">
        <v>7</v>
      </c>
      <c r="I19" s="32" t="inlineStr">
        <is>
          <t>India</t>
        </is>
      </c>
      <c r="J19" s="33" t="n">
        <v>8</v>
      </c>
      <c r="K19" s="35" t="inlineStr">
        <is>
          <t>Kardinalitas: 7 ragam nilai</t>
        </is>
      </c>
      <c r="L19" s="31" t="inlineStr">
        <is>
          <t>Data Transaksional Standar</t>
        </is>
      </c>
    </row>
    <row r="20">
      <c r="A20" s="36" t="n">
        <v>12</v>
      </c>
      <c r="B20" s="37" t="inlineStr">
        <is>
          <t>nama_pembeli</t>
        </is>
      </c>
      <c r="C20" s="37" t="inlineStr">
        <is>
          <t>String / Teks Kategoris</t>
        </is>
      </c>
      <c r="D20" s="38" t="n">
        <v>35</v>
      </c>
      <c r="E20" s="38" t="n">
        <v>35</v>
      </c>
      <c r="F20" s="38" t="n">
        <v>0</v>
      </c>
      <c r="G20" s="39" t="n">
        <v>1</v>
      </c>
      <c r="H20" s="38" t="n">
        <v>1</v>
      </c>
      <c r="I20" s="37" t="inlineStr">
        <is>
          <t>MITSUBISHI CORP BUYER INC.</t>
        </is>
      </c>
      <c r="J20" s="38" t="n">
        <v>35</v>
      </c>
      <c r="K20" s="40" t="inlineStr">
        <is>
          <t>Kardinalitas: 1 ragam nilai</t>
        </is>
      </c>
      <c r="L20" s="36" t="inlineStr">
        <is>
          <t>Data Transaksional Standar</t>
        </is>
      </c>
    </row>
    <row r="21">
      <c r="A21" s="31" t="n">
        <v>13</v>
      </c>
      <c r="B21" s="32" t="inlineStr">
        <is>
          <t>negara_pembeli</t>
        </is>
      </c>
      <c r="C21" s="32" t="inlineStr">
        <is>
          <t>String / Teks Kategoris</t>
        </is>
      </c>
      <c r="D21" s="33" t="n">
        <v>35</v>
      </c>
      <c r="E21" s="33" t="n">
        <v>35</v>
      </c>
      <c r="F21" s="33" t="n">
        <v>0</v>
      </c>
      <c r="G21" s="34" t="n">
        <v>1</v>
      </c>
      <c r="H21" s="33" t="n">
        <v>7</v>
      </c>
      <c r="I21" s="32" t="inlineStr">
        <is>
          <t>India</t>
        </is>
      </c>
      <c r="J21" s="33" t="n">
        <v>8</v>
      </c>
      <c r="K21" s="35" t="inlineStr">
        <is>
          <t>Kardinalitas: 7 ragam nilai</t>
        </is>
      </c>
      <c r="L21" s="31" t="inlineStr">
        <is>
          <t>Data Transaksional Standar</t>
        </is>
      </c>
    </row>
    <row r="22">
      <c r="A22" s="36" t="n">
        <v>14</v>
      </c>
      <c r="B22" s="37" t="inlineStr">
        <is>
          <t>negara_tujuan</t>
        </is>
      </c>
      <c r="C22" s="37" t="inlineStr">
        <is>
          <t>String / Teks Kategoris</t>
        </is>
      </c>
      <c r="D22" s="38" t="n">
        <v>35</v>
      </c>
      <c r="E22" s="38" t="n">
        <v>35</v>
      </c>
      <c r="F22" s="38" t="n">
        <v>0</v>
      </c>
      <c r="G22" s="39" t="n">
        <v>1</v>
      </c>
      <c r="H22" s="38" t="n">
        <v>7</v>
      </c>
      <c r="I22" s="37" t="inlineStr">
        <is>
          <t>India</t>
        </is>
      </c>
      <c r="J22" s="38" t="n">
        <v>8</v>
      </c>
      <c r="K22" s="40" t="inlineStr">
        <is>
          <t>Kardinalitas: 7 ragam nilai</t>
        </is>
      </c>
      <c r="L22" s="36" t="inlineStr">
        <is>
          <t>Data Transaksional Standar</t>
        </is>
      </c>
    </row>
    <row r="23">
      <c r="A23" s="31" t="n">
        <v>15</v>
      </c>
      <c r="B23" s="32" t="inlineStr">
        <is>
          <t>seri_barang</t>
        </is>
      </c>
      <c r="C23" s="32" t="inlineStr">
        <is>
          <t>Numerik (Integer/Float)</t>
        </is>
      </c>
      <c r="D23" s="33" t="n">
        <v>35</v>
      </c>
      <c r="E23" s="33" t="n">
        <v>35</v>
      </c>
      <c r="F23" s="33" t="n">
        <v>0</v>
      </c>
      <c r="G23" s="34" t="n">
        <v>1</v>
      </c>
      <c r="H23" s="33" t="n">
        <v>1</v>
      </c>
      <c r="I23" s="32" t="inlineStr">
        <is>
          <t>1</t>
        </is>
      </c>
      <c r="J23" s="33" t="n">
        <v>35</v>
      </c>
      <c r="K23" s="35" t="inlineStr">
        <is>
          <t>Min: 1, Max: 1, Avg: 1</t>
        </is>
      </c>
      <c r="L23" s="31" t="inlineStr">
        <is>
          <t>Data Transaksional Standar</t>
        </is>
      </c>
    </row>
    <row r="24">
      <c r="A24" s="36" t="n">
        <v>16</v>
      </c>
      <c r="B24" s="37" t="inlineStr">
        <is>
          <t>kode_hs</t>
        </is>
      </c>
      <c r="C24" s="37" t="inlineStr">
        <is>
          <t>String / Teks Kategoris</t>
        </is>
      </c>
      <c r="D24" s="38" t="n">
        <v>35</v>
      </c>
      <c r="E24" s="38" t="n">
        <v>35</v>
      </c>
      <c r="F24" s="38" t="n">
        <v>0</v>
      </c>
      <c r="G24" s="39" t="n">
        <v>1</v>
      </c>
      <c r="H24" s="38" t="n">
        <v>4</v>
      </c>
      <c r="I24" s="37" t="inlineStr">
        <is>
          <t>7112999000</t>
        </is>
      </c>
      <c r="J24" s="38" t="n">
        <v>12</v>
      </c>
      <c r="K24" s="40" t="inlineStr">
        <is>
          <t>Kardinalitas: 4 ragam nilai</t>
        </is>
      </c>
      <c r="L24" s="36" t="inlineStr">
        <is>
          <t>Data Transaksional Standar</t>
        </is>
      </c>
    </row>
    <row r="25">
      <c r="A25" s="31" t="n">
        <v>17</v>
      </c>
      <c r="B25" s="32" t="inlineStr">
        <is>
          <t>uraian_barang</t>
        </is>
      </c>
      <c r="C25" s="32" t="inlineStr">
        <is>
          <t>String / Teks Kategoris</t>
        </is>
      </c>
      <c r="D25" s="33" t="n">
        <v>35</v>
      </c>
      <c r="E25" s="33" t="n">
        <v>35</v>
      </c>
      <c r="F25" s="33" t="n">
        <v>0</v>
      </c>
      <c r="G25" s="34" t="n">
        <v>1</v>
      </c>
      <c r="H25" s="33" t="n">
        <v>4</v>
      </c>
      <c r="I25" s="32" t="inlineStr">
        <is>
          <t>ANODE SLIME (HASIL PEMURNIAN TEMBAGA)</t>
        </is>
      </c>
      <c r="J25" s="33" t="n">
        <v>9</v>
      </c>
      <c r="K25" s="35" t="inlineStr">
        <is>
          <t>Kardinalitas: 4 ragam nilai</t>
        </is>
      </c>
      <c r="L25" s="31" t="inlineStr">
        <is>
          <t>Data Transaksional Standar</t>
        </is>
      </c>
    </row>
    <row r="26">
      <c r="A26" s="36" t="n">
        <v>18</v>
      </c>
      <c r="B26" s="37" t="inlineStr">
        <is>
          <t>jumlah_satuan</t>
        </is>
      </c>
      <c r="C26" s="37" t="inlineStr">
        <is>
          <t>Numerik (Integer/Float)</t>
        </is>
      </c>
      <c r="D26" s="38" t="n">
        <v>35</v>
      </c>
      <c r="E26" s="38" t="n">
        <v>35</v>
      </c>
      <c r="F26" s="38" t="n">
        <v>0</v>
      </c>
      <c r="G26" s="39" t="n">
        <v>1</v>
      </c>
      <c r="H26" s="38" t="n">
        <v>5</v>
      </c>
      <c r="I26" s="37" t="inlineStr">
        <is>
          <t>10650</t>
        </is>
      </c>
      <c r="J26" s="38" t="n">
        <v>12</v>
      </c>
      <c r="K26" s="40" t="inlineStr">
        <is>
          <t>Min: 5,200, Max: 31,500, Avg: 15,434</t>
        </is>
      </c>
      <c r="L26" s="36" t="inlineStr">
        <is>
          <t>Data Transaksional Standar</t>
        </is>
      </c>
    </row>
    <row r="27">
      <c r="A27" s="31" t="n">
        <v>19</v>
      </c>
      <c r="B27" s="32" t="inlineStr">
        <is>
          <t>jenis_satuan</t>
        </is>
      </c>
      <c r="C27" s="32" t="inlineStr">
        <is>
          <t>String / Teks Kategoris</t>
        </is>
      </c>
      <c r="D27" s="33" t="n">
        <v>35</v>
      </c>
      <c r="E27" s="33" t="n">
        <v>35</v>
      </c>
      <c r="F27" s="33" t="n">
        <v>0</v>
      </c>
      <c r="G27" s="34" t="n">
        <v>1</v>
      </c>
      <c r="H27" s="33" t="n">
        <v>1</v>
      </c>
      <c r="I27" s="32" t="inlineStr">
        <is>
          <t>KGM</t>
        </is>
      </c>
      <c r="J27" s="33" t="n">
        <v>35</v>
      </c>
      <c r="K27" s="35" t="inlineStr">
        <is>
          <t>Kardinalitas: 1 ragam nilai</t>
        </is>
      </c>
      <c r="L27" s="31" t="inlineStr">
        <is>
          <t>Data Transaksional Standar</t>
        </is>
      </c>
    </row>
    <row r="28">
      <c r="A28" s="36" t="n">
        <v>20</v>
      </c>
      <c r="B28" s="37" t="inlineStr">
        <is>
          <t>netto_barang</t>
        </is>
      </c>
      <c r="C28" s="37" t="inlineStr">
        <is>
          <t>Numerik (Integer/Float)</t>
        </is>
      </c>
      <c r="D28" s="38" t="n">
        <v>35</v>
      </c>
      <c r="E28" s="38" t="n">
        <v>35</v>
      </c>
      <c r="F28" s="38" t="n">
        <v>0</v>
      </c>
      <c r="G28" s="39" t="n">
        <v>1</v>
      </c>
      <c r="H28" s="38" t="n">
        <v>5</v>
      </c>
      <c r="I28" s="37" t="inlineStr">
        <is>
          <t>10650</t>
        </is>
      </c>
      <c r="J28" s="38" t="n">
        <v>12</v>
      </c>
      <c r="K28" s="40" t="inlineStr">
        <is>
          <t>Min: 5,200, Max: 31,500, Avg: 15,434</t>
        </is>
      </c>
      <c r="L28" s="36" t="inlineStr">
        <is>
          <t>Data Transaksional Standar</t>
        </is>
      </c>
    </row>
    <row r="29">
      <c r="A29" s="31" t="n">
        <v>21</v>
      </c>
      <c r="B29" s="32" t="inlineStr">
        <is>
          <t>valuta</t>
        </is>
      </c>
      <c r="C29" s="32" t="inlineStr">
        <is>
          <t>String / Teks Kategoris</t>
        </is>
      </c>
      <c r="D29" s="33" t="n">
        <v>35</v>
      </c>
      <c r="E29" s="33" t="n">
        <v>35</v>
      </c>
      <c r="F29" s="33" t="n">
        <v>0</v>
      </c>
      <c r="G29" s="34" t="n">
        <v>1</v>
      </c>
      <c r="H29" s="33" t="n">
        <v>1</v>
      </c>
      <c r="I29" s="32" t="inlineStr">
        <is>
          <t>USD</t>
        </is>
      </c>
      <c r="J29" s="33" t="n">
        <v>35</v>
      </c>
      <c r="K29" s="35" t="inlineStr">
        <is>
          <t>Kardinalitas: 1 ragam nilai</t>
        </is>
      </c>
      <c r="L29" s="31" t="inlineStr">
        <is>
          <t>Data Transaksional Standar</t>
        </is>
      </c>
    </row>
    <row r="30">
      <c r="A30" s="36" t="n">
        <v>22</v>
      </c>
      <c r="B30" s="37" t="inlineStr">
        <is>
          <t>kurs</t>
        </is>
      </c>
      <c r="C30" s="37" t="inlineStr">
        <is>
          <t>Numerik (Integer/Float)</t>
        </is>
      </c>
      <c r="D30" s="38" t="n">
        <v>35</v>
      </c>
      <c r="E30" s="38" t="n">
        <v>35</v>
      </c>
      <c r="F30" s="38" t="n">
        <v>0</v>
      </c>
      <c r="G30" s="39" t="n">
        <v>1</v>
      </c>
      <c r="H30" s="38" t="n">
        <v>1</v>
      </c>
      <c r="I30" s="37" t="inlineStr">
        <is>
          <t>15500</t>
        </is>
      </c>
      <c r="J30" s="38" t="n">
        <v>35</v>
      </c>
      <c r="K30" s="40" t="inlineStr">
        <is>
          <t>Min: 15,500, Max: 15,500, Avg: 15,500</t>
        </is>
      </c>
      <c r="L30" s="36" t="inlineStr">
        <is>
          <t>Data Transaksional Standar</t>
        </is>
      </c>
    </row>
    <row r="31">
      <c r="A31" s="31" t="n">
        <v>23</v>
      </c>
      <c r="B31" s="32" t="inlineStr">
        <is>
          <t>fob_barang</t>
        </is>
      </c>
      <c r="C31" s="32" t="inlineStr">
        <is>
          <t>Numerik (Integer/Float)</t>
        </is>
      </c>
      <c r="D31" s="33" t="n">
        <v>35</v>
      </c>
      <c r="E31" s="33" t="n">
        <v>35</v>
      </c>
      <c r="F31" s="33" t="n">
        <v>0</v>
      </c>
      <c r="G31" s="34" t="n">
        <v>1</v>
      </c>
      <c r="H31" s="33" t="n">
        <v>8</v>
      </c>
      <c r="I31" s="32" t="inlineStr">
        <is>
          <t>120000</t>
        </is>
      </c>
      <c r="J31" s="33" t="n">
        <v>6</v>
      </c>
      <c r="K31" s="35" t="inlineStr">
        <is>
          <t>Min: $25,000, Max: $520,000, Avg: $207,057</t>
        </is>
      </c>
      <c r="L31" s="31" t="inlineStr">
        <is>
          <t>Data Transaksional Standar</t>
        </is>
      </c>
    </row>
    <row r="32">
      <c r="A32" s="36" t="n">
        <v>24</v>
      </c>
      <c r="B32" s="37" t="inlineStr">
        <is>
          <t>tarif_bea_keluar</t>
        </is>
      </c>
      <c r="C32" s="37" t="inlineStr">
        <is>
          <t>Numerik (Integer/Float)</t>
        </is>
      </c>
      <c r="D32" s="38" t="n">
        <v>35</v>
      </c>
      <c r="E32" s="38" t="n">
        <v>35</v>
      </c>
      <c r="F32" s="38" t="n">
        <v>0</v>
      </c>
      <c r="G32" s="39" t="n">
        <v>1</v>
      </c>
      <c r="H32" s="38" t="n">
        <v>4</v>
      </c>
      <c r="I32" s="37" t="inlineStr">
        <is>
          <t>0.1</t>
        </is>
      </c>
      <c r="J32" s="38" t="n">
        <v>11</v>
      </c>
      <c r="K32" s="40" t="inlineStr">
        <is>
          <t>Min: 5.0%, Max: 15.0%, Avg: 9.0%</t>
        </is>
      </c>
      <c r="L32" s="36" t="inlineStr">
        <is>
          <t>Data Transaksional Standar</t>
        </is>
      </c>
    </row>
    <row r="33">
      <c r="A33" s="31" t="n">
        <v>25</v>
      </c>
      <c r="B33" s="32" t="inlineStr">
        <is>
          <t>bea_keluar_barang</t>
        </is>
      </c>
      <c r="C33" s="32" t="inlineStr">
        <is>
          <t>Numerik (Integer/Float)</t>
        </is>
      </c>
      <c r="D33" s="33" t="n">
        <v>35</v>
      </c>
      <c r="E33" s="33" t="n">
        <v>35</v>
      </c>
      <c r="F33" s="33" t="n">
        <v>0</v>
      </c>
      <c r="G33" s="34" t="n">
        <v>1</v>
      </c>
      <c r="H33" s="33" t="n">
        <v>18</v>
      </c>
      <c r="I33" s="32" t="inlineStr">
        <is>
          <t>0</t>
        </is>
      </c>
      <c r="J33" s="33" t="n">
        <v>15</v>
      </c>
      <c r="K33" s="35" t="inlineStr">
        <is>
          <t>Min: 0, Max: 806,000,000, Avg: 169,503,571</t>
        </is>
      </c>
      <c r="L33" s="31" t="inlineStr">
        <is>
          <t>Data Transaksional Standar</t>
        </is>
      </c>
    </row>
    <row r="34">
      <c r="A34" s="36" t="n">
        <v>26</v>
      </c>
      <c r="B34" s="37" t="inlineStr">
        <is>
          <t>pph_ekspor_peb</t>
        </is>
      </c>
      <c r="C34" s="37" t="inlineStr">
        <is>
          <t>Numerik (Integer/Float)</t>
        </is>
      </c>
      <c r="D34" s="38" t="n">
        <v>35</v>
      </c>
      <c r="E34" s="38" t="n">
        <v>35</v>
      </c>
      <c r="F34" s="38" t="n">
        <v>0</v>
      </c>
      <c r="G34" s="39" t="n">
        <v>1</v>
      </c>
      <c r="H34" s="38" t="n">
        <v>9</v>
      </c>
      <c r="I34" s="37" t="inlineStr">
        <is>
          <t>0</t>
        </is>
      </c>
      <c r="J34" s="38" t="n">
        <v>15</v>
      </c>
      <c r="K34" s="40" t="inlineStr">
        <is>
          <t>Min: 0, Max: 120,900,000, Avg: 28,105,929</t>
        </is>
      </c>
      <c r="L34" s="36" t="inlineStr">
        <is>
          <t>Data Transaksional Standar</t>
        </is>
      </c>
    </row>
    <row r="35">
      <c r="A35" s="31" t="n">
        <v>27</v>
      </c>
      <c r="B35" s="32" t="inlineStr">
        <is>
          <t>jalur</t>
        </is>
      </c>
      <c r="C35" s="32" t="inlineStr">
        <is>
          <t>String / Teks Kategoris</t>
        </is>
      </c>
      <c r="D35" s="33" t="n">
        <v>35</v>
      </c>
      <c r="E35" s="33" t="n">
        <v>35</v>
      </c>
      <c r="F35" s="33" t="n">
        <v>0</v>
      </c>
      <c r="G35" s="34" t="n">
        <v>1</v>
      </c>
      <c r="H35" s="33" t="n">
        <v>3</v>
      </c>
      <c r="I35" s="32" t="inlineStr">
        <is>
          <t>H</t>
        </is>
      </c>
      <c r="J35" s="33" t="n">
        <v>20</v>
      </c>
      <c r="K35" s="35" t="inlineStr">
        <is>
          <t>Kardinalitas: 3 ragam nilai</t>
        </is>
      </c>
      <c r="L35" s="31" t="inlineStr">
        <is>
          <t>Data Transaksional Standar</t>
        </is>
      </c>
    </row>
    <row r="36">
      <c r="A36" s="36" t="n">
        <v>28</v>
      </c>
      <c r="B36" s="37" t="inlineStr">
        <is>
          <t>status_jalur</t>
        </is>
      </c>
      <c r="C36" s="37" t="inlineStr">
        <is>
          <t>String / Teks Kategoris</t>
        </is>
      </c>
      <c r="D36" s="38" t="n">
        <v>35</v>
      </c>
      <c r="E36" s="38" t="n">
        <v>35</v>
      </c>
      <c r="F36" s="38" t="n">
        <v>0</v>
      </c>
      <c r="G36" s="39" t="n">
        <v>1</v>
      </c>
      <c r="H36" s="38" t="n">
        <v>3</v>
      </c>
      <c r="I36" s="37" t="inlineStr">
        <is>
          <t>HIJAU</t>
        </is>
      </c>
      <c r="J36" s="38" t="n">
        <v>20</v>
      </c>
      <c r="K36" s="40" t="inlineStr">
        <is>
          <t>Kardinalitas: 3 ragam nilai</t>
        </is>
      </c>
      <c r="L36" s="36" t="inlineStr">
        <is>
          <t>Data Transaksional Standar</t>
        </is>
      </c>
    </row>
    <row r="37">
      <c r="A37" s="31" t="n">
        <v>29</v>
      </c>
      <c r="B37" s="32" t="inlineStr">
        <is>
          <t>status_pabean</t>
        </is>
      </c>
      <c r="C37" s="32" t="inlineStr">
        <is>
          <t>String / Teks Kategoris</t>
        </is>
      </c>
      <c r="D37" s="33" t="n">
        <v>35</v>
      </c>
      <c r="E37" s="33" t="n">
        <v>35</v>
      </c>
      <c r="F37" s="33" t="n">
        <v>0</v>
      </c>
      <c r="G37" s="34" t="n">
        <v>1</v>
      </c>
      <c r="H37" s="33" t="n">
        <v>1</v>
      </c>
      <c r="I37" s="32" t="inlineStr">
        <is>
          <t>NPE</t>
        </is>
      </c>
      <c r="J37" s="33" t="n">
        <v>35</v>
      </c>
      <c r="K37" s="35" t="inlineStr">
        <is>
          <t>Kardinalitas: 1 ragam nilai</t>
        </is>
      </c>
      <c r="L37" s="31" t="inlineStr">
        <is>
          <t>Data Transaksional Standar</t>
        </is>
      </c>
    </row>
    <row r="38">
      <c r="A38" s="36" t="n">
        <v>30</v>
      </c>
      <c r="B38" s="37" t="inlineStr">
        <is>
          <t>status_dokumen</t>
        </is>
      </c>
      <c r="C38" s="37" t="inlineStr">
        <is>
          <t>String / Teks Kategoris</t>
        </is>
      </c>
      <c r="D38" s="38" t="n">
        <v>35</v>
      </c>
      <c r="E38" s="38" t="n">
        <v>35</v>
      </c>
      <c r="F38" s="38" t="n">
        <v>0</v>
      </c>
      <c r="G38" s="39" t="n">
        <v>1</v>
      </c>
      <c r="H38" s="38" t="n">
        <v>1</v>
      </c>
      <c r="I38" s="37" t="inlineStr">
        <is>
          <t>SELESAI (NPE)</t>
        </is>
      </c>
      <c r="J38" s="38" t="n">
        <v>35</v>
      </c>
      <c r="K38" s="40" t="inlineStr">
        <is>
          <t>Kardinalitas: 1 ragam nilai</t>
        </is>
      </c>
      <c r="L38" s="36" t="inlineStr">
        <is>
          <t>Data Transaksional Standar</t>
        </is>
      </c>
    </row>
    <row r="39">
      <c r="A39" s="31" t="n">
        <v>31</v>
      </c>
      <c r="B39" s="32" t="inlineStr">
        <is>
          <t>dokumen_pelengkap</t>
        </is>
      </c>
      <c r="C39" s="32" t="inlineStr">
        <is>
          <t>String / Teks Kategoris</t>
        </is>
      </c>
      <c r="D39" s="33" t="n">
        <v>35</v>
      </c>
      <c r="E39" s="33" t="n">
        <v>35</v>
      </c>
      <c r="F39" s="33" t="n">
        <v>0</v>
      </c>
      <c r="G39" s="34" t="n">
        <v>1</v>
      </c>
      <c r="H39" s="33" t="n">
        <v>27</v>
      </c>
      <c r="I39" s="32" t="inlineStr">
        <is>
          <t>INVOICE: SLMMMC2026-01 (Tgl: 2026-09-18)</t>
        </is>
      </c>
      <c r="J39" s="33" t="n">
        <v>3</v>
      </c>
      <c r="K39" s="35" t="inlineStr">
        <is>
          <t>Kardinalitas: 27 ragam nilai</t>
        </is>
      </c>
      <c r="L39" s="31" t="inlineStr">
        <is>
          <t>Data Transaksional Standar</t>
        </is>
      </c>
    </row>
  </sheetData>
  <mergeCells count="8">
    <mergeCell ref="E4:F4"/>
    <mergeCell ref="B5:C5"/>
    <mergeCell ref="E5:F5"/>
    <mergeCell ref="K5:L5"/>
    <mergeCell ref="H5:I5"/>
    <mergeCell ref="H4:I4"/>
    <mergeCell ref="K4:L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2026-10-13T04:50:30Z</dcterms:created>
  <dcterms:modified xmlns:dcterms="http://purl.org/dc/terms/" xmlns:xsi="http://www.w3.org/2001/XMLSchema-instance" xsi:type="dcterms:W3CDTF">2026-10-13T04:50:30Z</dcterms:modified>
</cp:coreProperties>
</file>